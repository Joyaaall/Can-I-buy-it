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ck Check" sheetId="1" state="visible" r:id="rId1"/>
    <sheet xmlns:r="http://schemas.openxmlformats.org/officeDocument/2006/relationships" name="Budget Setup" sheetId="2" state="visible" r:id="rId2"/>
    <sheet xmlns:r="http://schemas.openxmlformats.org/officeDocument/2006/relationships" name="Purchase Plan" sheetId="3" state="visible" r:id="rId3"/>
    <sheet xmlns:r="http://schemas.openxmlformats.org/officeDocument/2006/relationships" name="Validation Tests" sheetId="4" state="visible" r:id="rId4"/>
    <sheet xmlns:r="http://schemas.openxmlformats.org/officeDocument/2006/relationships" name="Guid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₹#,##0.00"/>
    <numFmt numFmtId="166" formatCode="dd-mmm-yyyy"/>
  </numFmts>
  <fonts count="7">
    <font>
      <name val="Calibri"/>
      <family val="2"/>
      <color theme="1"/>
      <sz val="11"/>
      <scheme val="minor"/>
    </font>
    <font>
      <b val="1"/>
      <color rgb="00FFFFFF"/>
      <sz val="19"/>
    </font>
    <font>
      <b val="1"/>
    </font>
    <font>
      <b val="1"/>
      <color rgb="00FFFFFF"/>
    </font>
    <font>
      <b val="1"/>
      <sz val="15"/>
    </font>
    <font>
      <b val="1"/>
      <sz val="14"/>
    </font>
    <font>
      <b val="1"/>
      <color rgb="00FFFFFF"/>
      <sz val="13"/>
    </font>
  </fonts>
  <fills count="6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D9EAF7"/>
      </patternFill>
    </fill>
  </fills>
  <borders count="6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/>
      <top style="thin">
        <color rgb="00B7B7B7"/>
      </top>
      <bottom style="thin">
        <color rgb="00B7B7B7"/>
      </bottom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165" fontId="0" fillId="4" borderId="1" applyAlignment="1" pivotButton="0" quotePrefix="0" xfId="0">
      <alignment vertical="center" wrapText="1"/>
    </xf>
    <xf numFmtId="0" fontId="3" fillId="3" borderId="0" applyAlignment="1" pivotButton="0" quotePrefix="0" xfId="0">
      <alignment horizontal="center"/>
    </xf>
    <xf numFmtId="0" fontId="2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6" fontId="0" fillId="4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165" fontId="2" fillId="5" borderId="1" applyAlignment="1" pivotButton="0" quotePrefix="0" xfId="0">
      <alignment vertical="center" wrapText="1"/>
    </xf>
    <xf numFmtId="2" fontId="0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166" fontId="2" fillId="5" borderId="1" applyAlignment="1" pivotButton="0" quotePrefix="0" xfId="0">
      <alignment vertical="center" wrapText="1"/>
    </xf>
    <xf numFmtId="0" fontId="2" fillId="5" borderId="0" applyAlignment="1" pivotButton="0" quotePrefix="0" xfId="0">
      <alignment horizontal="center" wrapText="1"/>
    </xf>
    <xf numFmtId="0" fontId="3" fillId="3" borderId="1" applyAlignment="1" pivotButton="0" quotePrefix="0" xfId="0">
      <alignment horizontal="center" wrapText="1"/>
    </xf>
    <xf numFmtId="0" fontId="2" fillId="0" borderId="1" pivotButton="0" quotePrefix="0" xfId="0"/>
    <xf numFmtId="0" fontId="0" fillId="0" borderId="1" applyAlignment="1" pivotButton="0" quotePrefix="0" xfId="0">
      <alignment wrapText="1"/>
    </xf>
    <xf numFmtId="165" fontId="0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2" fontId="0" fillId="0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</cellXfs>
  <cellStyles count="1">
    <cellStyle name="Normal" xfId="0" builtinId="0" hidden="0"/>
  </cellStyles>
  <dxfs count="6">
    <dxf>
      <font>
        <b val="1"/>
        <color rgb="00006100"/>
      </font>
      <fill>
        <patternFill patternType="solid">
          <fgColor rgb="00E2F0D9"/>
        </patternFill>
      </fill>
    </dxf>
    <dxf>
      <font>
        <b val="1"/>
        <color rgb="009C6500"/>
      </font>
      <fill>
        <patternFill patternType="solid">
          <fgColor rgb="00FFF2CC"/>
        </patternFill>
      </fill>
    </dxf>
    <dxf>
      <font>
        <b val="1"/>
        <color rgb="00C00000"/>
      </font>
      <fill>
        <patternFill patternType="solid">
          <fgColor rgb="00F4CCCC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zoomScale="90"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58" customWidth="1" min="3" max="3"/>
  </cols>
  <sheetData>
    <row r="1">
      <c r="A1" s="1" t="inlineStr">
        <is>
          <t>CAN I BUY IT? — CORRECTED</t>
        </is>
      </c>
    </row>
    <row r="3">
      <c r="A3" s="2" t="inlineStr">
        <is>
          <t>Item name</t>
        </is>
      </c>
      <c r="B3" s="3" t="inlineStr">
        <is>
          <t>Tech item</t>
        </is>
      </c>
      <c r="C3" s="2" t="inlineStr">
        <is>
          <t>Description only; it does not alter the calculation.</t>
        </is>
      </c>
    </row>
    <row r="4">
      <c r="A4" s="2" t="inlineStr">
        <is>
          <t>Full upfront cost</t>
        </is>
      </c>
      <c r="B4" s="4" t="n">
        <v>4000</v>
      </c>
      <c r="C4" s="2" t="inlineStr">
        <is>
          <t>Include tax, delivery, installation, and required accessories.</t>
        </is>
      </c>
    </row>
    <row r="5">
      <c r="A5" s="2" t="inlineStr">
        <is>
          <t>New recurring monthly cost</t>
        </is>
      </c>
      <c r="B5" s="4" t="n">
        <v>0</v>
      </c>
      <c r="C5" s="2" t="inlineStr">
        <is>
          <t>Subscriptions, maintenance, consumables, insurance, etc.</t>
        </is>
      </c>
    </row>
    <row r="7">
      <c r="A7" s="5" t="inlineStr">
        <is>
          <t>RESULT</t>
        </is>
      </c>
    </row>
    <row r="8">
      <c r="A8" s="6" t="inlineStr">
        <is>
          <t>Input check</t>
        </is>
      </c>
      <c r="B8" s="2">
        <f>IF(OR('Budget Setup'!B26&lt;&gt;"VALID",B4="",NOT(ISNUMBER(B4)),B4&lt;=0,B5="",NOT(ISNUMBER(B5)),B5&lt;0),"INVALID","VALID")</f>
        <v/>
      </c>
      <c r="C8" s="2" t="inlineStr">
        <is>
          <t>A decision appears only after all inputs are valid.</t>
        </is>
      </c>
    </row>
    <row r="9">
      <c r="A9" s="6" t="inlineStr">
        <is>
          <t>Current safe-zone status</t>
        </is>
      </c>
      <c r="B9" s="2">
        <f>IF('Budget Setup'!B26&lt;&gt;"VALID","INVALID INPUT",IF('Budget Setup'!B21=0,"IN SAFE ZONE","NEED ₹"&amp;TEXT('Budget Setup'!B21,"#,##0.00")&amp;" MORE"))</f>
        <v/>
      </c>
      <c r="C9" s="2" t="inlineStr">
        <is>
          <t>Uses the same reserved-cash definition as every other result.</t>
        </is>
      </c>
    </row>
    <row r="10">
      <c r="A10" s="6" t="inlineStr">
        <is>
          <t>Decision</t>
        </is>
      </c>
      <c r="B10" s="7">
        <f>IF(OR(B4="",NOT(ISNUMBER(B4)),B4&lt;=0),"ENTER A VALID PRICE",IF(OR(B5="",NOT(ISNUMBER(B5)),B5&lt;0,'Budget Setup'!B26&lt;&gt;"VALID"),"INVALID INPUT",IF('Budget Setup'!B22&gt;0,"URGENT CASH SHORTFALL",IF(AND(B5&gt;0,B5&gt;'Budget Setup'!B17),"NOT AFFORDABLE: RECURRING COST",IF(B4&lt;=MAX(0,'Budget Setup'!B5-'Budget Setup'!B20),"BUY NOW",IF('Budget Setup'!B17&lt;=0,"NOT AFFORDABLE WITH CURRENT BUDGET","WAIT UNTIL "&amp;TEXT(B17,"dd-mmm-yyyy")))))))</f>
        <v/>
      </c>
      <c r="C10" s="2" t="inlineStr">
        <is>
          <t>Decision order prevents contradictory results.</t>
        </is>
      </c>
    </row>
    <row r="11">
      <c r="A11" s="6" t="inlineStr">
        <is>
          <t>Minimum safety buffer</t>
        </is>
      </c>
      <c r="B11" s="8">
        <f>'Budget Setup'!B19</f>
        <v/>
      </c>
      <c r="C11" s="2" t="inlineStr">
        <is>
          <t>Commitments × buffer months.</t>
        </is>
      </c>
    </row>
    <row r="12">
      <c r="A12" s="6" t="inlineStr">
        <is>
          <t>Total reserved cash</t>
        </is>
      </c>
      <c r="B12" s="8">
        <f>'Budget Setup'!B20</f>
        <v/>
      </c>
      <c r="C12" s="2" t="inlineStr">
        <is>
          <t>Buffer plus costs due before next income.</t>
        </is>
      </c>
    </row>
    <row r="13">
      <c r="A13" s="6" t="inlineStr">
        <is>
          <t>Money needed for safe zone</t>
        </is>
      </c>
      <c r="B13" s="8">
        <f>'Budget Setup'!B21</f>
        <v/>
      </c>
      <c r="C13" s="2" t="inlineStr">
        <is>
          <t>Gap before considering this item.</t>
        </is>
      </c>
    </row>
    <row r="14">
      <c r="A14" s="6" t="inlineStr">
        <is>
          <t>Estimated safe-zone date</t>
        </is>
      </c>
      <c r="B14" s="9">
        <f>'Budget Setup'!B24</f>
        <v/>
      </c>
      <c r="C14" s="2" t="inlineStr">
        <is>
          <t>Separate from the purchase date.</t>
        </is>
      </c>
    </row>
    <row r="15">
      <c r="A15" s="6" t="inlineStr">
        <is>
          <t>Safe spending money now</t>
        </is>
      </c>
      <c r="B15" s="8">
        <f>'Budget Setup'!B25</f>
        <v/>
      </c>
      <c r="C15" s="2" t="inlineStr">
        <is>
          <t>Maximum optional cash available now.</t>
        </is>
      </c>
    </row>
    <row r="16">
      <c r="A16" s="6" t="inlineStr">
        <is>
          <t>Total money still needed</t>
        </is>
      </c>
      <c r="B16" s="8">
        <f>IF(OR(B4="",NOT(ISNUMBER(B4)),B4&lt;=0),"",MAX(0,'Budget Setup'!B20+B4-'Budget Setup'!B5))</f>
        <v/>
      </c>
      <c r="C16" s="2" t="inlineStr">
        <is>
          <t>Includes the full reserve deficit and item price.</t>
        </is>
      </c>
    </row>
    <row r="17">
      <c r="A17" s="6" t="inlineStr">
        <is>
          <t>Earliest safe purchase date</t>
        </is>
      </c>
      <c r="B17" s="9">
        <f>IF(B8&lt;&gt;"VALID","",IF(B4&lt;='Budget Setup'!B25,'Budget Setup'!B3,IF('Budget Setup'!B17&lt;=0,"",DATE(YEAR(EDATE('Budget Setup'!B7,ROUNDUP(B16/'Budget Setup'!B17,0)-1)),MONTH(EDATE('Budget Setup'!B7,ROUNDUP(B16/'Budget Setup'!B17,0)-1)),MIN('Budget Setup'!B8,DAY(EOMONTH(EDATE('Budget Setup'!B7,ROUNDUP(B16/'Budget Setup'!B17,0)-1),0)))))))</f>
        <v/>
      </c>
      <c r="C17" s="2" t="inlineStr">
        <is>
          <t>Cycle 1 equals the next confirmed income date.</t>
        </is>
      </c>
    </row>
    <row r="18">
      <c r="A18" s="6" t="inlineStr">
        <is>
          <t>Months of saving required</t>
        </is>
      </c>
      <c r="B18" s="2">
        <f>IF(B8&lt;&gt;"VALID","",IF(B16=0,0,IF('Budget Setup'!B17&lt;=0,"N/A",ROUNDUP(B16/'Budget Setup'!B17,0))))</f>
        <v/>
      </c>
      <c r="C18" s="2" t="inlineStr">
        <is>
          <t>Whole monthly saving cycles.</t>
        </is>
      </c>
    </row>
    <row r="19">
      <c r="A19" s="6" t="inlineStr">
        <is>
          <t>Monthly surplus after purchase</t>
        </is>
      </c>
      <c r="B19" s="8">
        <f>IF(B8&lt;&gt;"VALID","",'Budget Setup'!B17-B5)</f>
        <v/>
      </c>
      <c r="C19" s="2" t="inlineStr">
        <is>
          <t>Must not be negative for a recurring-cost purchase.</t>
        </is>
      </c>
    </row>
    <row r="20">
      <c r="A20" s="6" t="inlineStr">
        <is>
          <t>Urgent shortfall before income</t>
        </is>
      </c>
      <c r="B20" s="8">
        <f>'Budget Setup'!B22</f>
        <v/>
      </c>
      <c r="C20" s="2" t="inlineStr">
        <is>
          <t>Resolve this before optional purchases.</t>
        </is>
      </c>
    </row>
  </sheetData>
  <mergeCells count="2">
    <mergeCell ref="A1:C1"/>
    <mergeCell ref="A7:C7"/>
  </mergeCells>
  <conditionalFormatting sqref="B10">
    <cfRule type="expression" priority="1" dxfId="0">
      <formula>LEFT(B10,7)="BUY NOW"</formula>
    </cfRule>
    <cfRule type="expression" priority="2" dxfId="1">
      <formula>LEFT(B10,4)="WAIT"</formula>
    </cfRule>
    <cfRule type="expression" priority="3" dxfId="2">
      <formula>OR(LEFT(B10,3)="NOT",LEFT(B10,6)="URGENT",LEFT(B10,7)="INVALID",LEFT(B10,5)="ENTER")</formula>
    </cfRule>
  </conditionalFormatting>
  <dataValidations count="2">
    <dataValidation sqref="B4" showDropDown="0" showInputMessage="0" showErrorMessage="1" allowBlank="0" error="Enter a price greater than zero." type="decimal" operator="greaterThan">
      <formula1>0</formula1>
    </dataValidation>
    <dataValidation sqref="B5" showDropDown="0" showInputMessage="0" showErrorMessage="1" allowBlank="0" error="Recurring cost cannot be negative." type="decimal" operator="greaterThanOrEqual">
      <formula1>0</formula1>
    </dataValidation>
  </dataValidation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27"/>
  <sheetViews>
    <sheetView showGridLines="0"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62" customWidth="1" min="3" max="3"/>
  </cols>
  <sheetData>
    <row r="1">
      <c r="A1" s="1" t="inlineStr">
        <is>
          <t>BUDGET SETUP &amp; SAFE ZONE</t>
        </is>
      </c>
    </row>
    <row r="3">
      <c r="A3" s="6" t="inlineStr">
        <is>
          <t>As-of date</t>
        </is>
      </c>
      <c r="B3" s="10" t="n">
        <v>46302</v>
      </c>
      <c r="C3" s="2" t="inlineStr">
        <is>
          <t>Date when the cleared balance was checked.</t>
        </is>
      </c>
    </row>
    <row r="4">
      <c r="A4" s="6" t="inlineStr">
        <is>
          <t>Currency</t>
        </is>
      </c>
      <c r="B4" s="3" t="inlineStr">
        <is>
          <t>INR</t>
        </is>
      </c>
      <c r="C4" s="2" t="inlineStr">
        <is>
          <t>All monetary inputs must use the same currency.</t>
        </is>
      </c>
    </row>
    <row r="5">
      <c r="A5" s="6" t="inlineStr">
        <is>
          <t>Cleared spendable balance</t>
        </is>
      </c>
      <c r="B5" s="4" t="n">
        <v>3000</v>
      </c>
      <c r="C5" s="2" t="inlineStr">
        <is>
          <t>Exclude credit limits, pending deposits, investments, and protected/earmarked savings.</t>
        </is>
      </c>
    </row>
    <row r="6">
      <c r="A6" s="6" t="inlineStr">
        <is>
          <t>Average monthly take-home income</t>
        </is>
      </c>
      <c r="B6" s="4" t="n">
        <v>8000</v>
      </c>
      <c r="C6" s="2" t="inlineStr">
        <is>
          <t>For irregular income, use a conservative amount and update frequently.</t>
        </is>
      </c>
    </row>
    <row r="7">
      <c r="A7" s="6" t="inlineStr">
        <is>
          <t>Next income date — not yet in balance</t>
        </is>
      </c>
      <c r="B7" s="10" t="n">
        <v>46327</v>
      </c>
      <c r="C7" s="2" t="inlineStr">
        <is>
          <t>Use the next confirmed income date. If today's salary is already in the balance, enter the following payday.</t>
        </is>
      </c>
    </row>
    <row r="8">
      <c r="A8" s="6" t="inlineStr">
        <is>
          <t>Regular monthly income day</t>
        </is>
      </c>
      <c r="B8" s="3" t="n">
        <v>1</v>
      </c>
      <c r="C8" s="2" t="inlineStr">
        <is>
          <t>1–31. Short months automatically use their final calendar day.</t>
        </is>
      </c>
    </row>
    <row r="9">
      <c r="A9" s="6" t="inlineStr">
        <is>
          <t>Loan/debt payments</t>
        </is>
      </c>
      <c r="B9" s="4" t="n">
        <v>1000</v>
      </c>
      <c r="C9" s="2" t="inlineStr">
        <is>
          <t>Required monthly payment.</t>
        </is>
      </c>
    </row>
    <row r="10">
      <c r="A10" s="6" t="inlineStr">
        <is>
          <t>Untouchable investment contribution</t>
        </is>
      </c>
      <c r="B10" s="4" t="n">
        <v>400</v>
      </c>
      <c r="C10" s="2" t="inlineStr">
        <is>
          <t>Keep only if this contribution must not be paused.</t>
        </is>
      </c>
    </row>
    <row r="11">
      <c r="A11" s="6" t="inlineStr">
        <is>
          <t>Transport / petrol</t>
        </is>
      </c>
      <c r="B11" s="4" t="n">
        <v>2000</v>
      </c>
      <c r="C11" s="2" t="inlineStr">
        <is>
          <t>Normal required monthly amount.</t>
        </is>
      </c>
    </row>
    <row r="12">
      <c r="A12" s="6" t="inlineStr">
        <is>
          <t>Other essential monthly costs</t>
        </is>
      </c>
      <c r="B12" s="4" t="n">
        <v>0</v>
      </c>
      <c r="C12" s="2" t="inlineStr">
        <is>
          <t>Food, housing, medical, education, subscriptions, etc., if personally paid.</t>
        </is>
      </c>
    </row>
    <row r="13">
      <c r="A13" s="6" t="inlineStr">
        <is>
          <t>Unavoidable expenses due before next income</t>
        </is>
      </c>
      <c r="B13" s="4" t="n">
        <v>0</v>
      </c>
      <c r="C13" s="2" t="inlineStr">
        <is>
          <t>Only confirmed costs due before the next income date; update after payment.</t>
        </is>
      </c>
    </row>
    <row r="14">
      <c r="A14" s="2" t="inlineStr"/>
      <c r="B14" s="2" t="inlineStr"/>
      <c r="C14" s="2" t="inlineStr"/>
    </row>
    <row r="15">
      <c r="A15" s="11" t="inlineStr">
        <is>
          <t>CALCULATED MONTHLY POSITION</t>
        </is>
      </c>
      <c r="B15" s="12" t="n"/>
      <c r="C15" s="13" t="n"/>
    </row>
    <row r="16">
      <c r="A16" s="6" t="inlineStr">
        <is>
          <t>Total monthly commitments</t>
        </is>
      </c>
      <c r="B16" s="14">
        <f>SUM(B9:B12)</f>
        <v/>
      </c>
      <c r="C16" s="2" t="inlineStr">
        <is>
          <t>Required monthly costs protected by the model.</t>
        </is>
      </c>
    </row>
    <row r="17">
      <c r="A17" s="6" t="inlineStr">
        <is>
          <t>Monthly surplus</t>
        </is>
      </c>
      <c r="B17" s="14">
        <f>B6-B16</f>
        <v/>
      </c>
      <c r="C17" s="2" t="inlineStr">
        <is>
          <t>Income remaining after commitments.</t>
        </is>
      </c>
    </row>
    <row r="18">
      <c r="A18" s="6" t="inlineStr">
        <is>
          <t>Safety buffer (months) — EDIT</t>
        </is>
      </c>
      <c r="B18" s="15" t="n">
        <v>6</v>
      </c>
      <c r="C18" s="2" t="inlineStr">
        <is>
          <t>Examples: 0.5 = half month, 1 = one month, 6 = six months.</t>
        </is>
      </c>
    </row>
    <row r="19">
      <c r="A19" s="6" t="inlineStr">
        <is>
          <t>Minimum safety buffer</t>
        </is>
      </c>
      <c r="B19" s="14">
        <f>B16*B18</f>
        <v/>
      </c>
      <c r="C19" s="2" t="inlineStr">
        <is>
          <t>Monthly commitments multiplied by buffer months.</t>
        </is>
      </c>
    </row>
    <row r="20">
      <c r="A20" s="6" t="inlineStr">
        <is>
          <t>Total reserved cash</t>
        </is>
      </c>
      <c r="B20" s="14">
        <f>B19+B13</f>
        <v/>
      </c>
      <c r="C20" s="2" t="inlineStr">
        <is>
          <t>Safety buffer plus unavoidable costs due before next income.</t>
        </is>
      </c>
    </row>
    <row r="21">
      <c r="A21" s="6" t="inlineStr">
        <is>
          <t>Money needed to enter safe zone</t>
        </is>
      </c>
      <c r="B21" s="14">
        <f>MAX(0,B20-B5)</f>
        <v/>
      </c>
      <c r="C21" s="2" t="inlineStr">
        <is>
          <t>How much more cash is needed to cover all reserved cash.</t>
        </is>
      </c>
    </row>
    <row r="22">
      <c r="A22" s="6" t="inlineStr">
        <is>
          <t>Urgent shortfall before next income</t>
        </is>
      </c>
      <c r="B22" s="14">
        <f>MAX(0,B13-B5)</f>
        <v/>
      </c>
      <c r="C22" s="2" t="inlineStr">
        <is>
          <t>If positive, upcoming obligations exceed current spendable cash.</t>
        </is>
      </c>
    </row>
    <row r="23">
      <c r="A23" s="6" t="inlineStr">
        <is>
          <t>Months until safe zone</t>
        </is>
      </c>
      <c r="B23" s="16">
        <f>IF(B26&lt;&gt;"VALID","",IF(B21=0,0,IF(B17&lt;=0,"N/A",ROUNDUP(B21/B17,0))))</f>
        <v/>
      </c>
      <c r="C23" s="2" t="inlineStr">
        <is>
          <t>Whole monthly saving cycles required.</t>
        </is>
      </c>
    </row>
    <row r="24">
      <c r="A24" s="6" t="inlineStr">
        <is>
          <t>Estimated safe-zone date</t>
        </is>
      </c>
      <c r="B24" s="17">
        <f>IF(B26&lt;&gt;"VALID","",IF(B21=0,B3,IF(B17&lt;=0,"",DATE(YEAR(EDATE(B7,B23-1)),MONTH(EDATE(B7,B23-1)),MIN(B8,DAY(EOMONTH(EDATE(B7,B23-1),0)))))))</f>
        <v/>
      </c>
      <c r="C24" s="2" t="inlineStr">
        <is>
          <t>Cycle 1 is exactly the next income date.</t>
        </is>
      </c>
    </row>
    <row r="25">
      <c r="A25" s="6" t="inlineStr">
        <is>
          <t>Safe spending money now</t>
        </is>
      </c>
      <c r="B25" s="14">
        <f>MAX(0,B5-B20)</f>
        <v/>
      </c>
      <c r="C25" s="2" t="inlineStr">
        <is>
          <t>Maximum optional spending without breaking the reserve.</t>
        </is>
      </c>
    </row>
    <row r="26">
      <c r="A26" s="6" t="inlineStr">
        <is>
          <t>Input status</t>
        </is>
      </c>
      <c r="B26" s="16">
        <f>IF(AND(ISNUMBER(B3),B4&lt;&gt;"",ISNUMBER(B5),ISNUMBER(B6),B6&gt;=0,ISNUMBER(B7),B7&gt;=B3,ISNUMBER(B8),B8&gt;=1,B8&lt;=31,COUNT(B9:B13)=5,MIN(B9:B13)&gt;=0,ISNUMBER(B18),B18&gt;=0,B18&lt;=120),"VALID","INVALID INPUT")</f>
        <v/>
      </c>
      <c r="C26" s="2" t="inlineStr">
        <is>
          <t>Fix invalid or missing values before trusting decisions.</t>
        </is>
      </c>
    </row>
    <row r="27">
      <c r="A27" s="6" t="inlineStr">
        <is>
          <t>Data freshness</t>
        </is>
      </c>
      <c r="B27" s="16">
        <f>IF(TODAY()-B3&gt;7,"STALE — UPDATE BALANCE","CURRENT")</f>
        <v/>
      </c>
      <c r="C27" s="2" t="inlineStr">
        <is>
          <t>Update the cleared balance after every income, expense, or purchase.</t>
        </is>
      </c>
    </row>
  </sheetData>
  <mergeCells count="2">
    <mergeCell ref="A1:C1"/>
    <mergeCell ref="A15:C15"/>
  </mergeCells>
  <conditionalFormatting sqref="B26">
    <cfRule type="expression" priority="1" dxfId="0">
      <formula>B26="VALID"</formula>
    </cfRule>
    <cfRule type="expression" priority="2" dxfId="2">
      <formula>B26&lt;&gt;"VALID"</formula>
    </cfRule>
  </conditionalFormatting>
  <conditionalFormatting sqref="B22">
    <cfRule type="expression" priority="3" dxfId="2">
      <formula>B22&gt;0</formula>
    </cfRule>
  </conditionalFormatting>
  <dataValidations count="3">
    <dataValidation sqref="B18" showDropDown="0" showInputMessage="0" showErrorMessage="1" allowBlank="0" errorTitle="Invalid buffer" error="Enter buffer months from 0 to 120. Decimals are allowed." type="decimal" operator="between">
      <formula1>0</formula1>
      <formula2>120</formula2>
    </dataValidation>
    <dataValidation sqref="B6 B9:B13" showDropDown="0" showInputMessage="0" showErrorMessage="1" allowBlank="0" error="Enter zero or a positive number." type="decimal" operator="greaterThanOrEqual">
      <formula1>0</formula1>
    </dataValidation>
    <dataValidation sqref="B8" showDropDown="0" showInputMessage="0" showErrorMessage="1" allowBlank="0" error="Enter a day from 1 to 31." type="whole" operator="between">
      <formula1>1</formula1>
      <formula2>31</formula2>
    </dataValidation>
  </dataValidation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22" customWidth="1" min="4" max="4"/>
    <col width="22" customWidth="1" min="5" max="5"/>
    <col width="40" customWidth="1" min="6" max="6"/>
  </cols>
  <sheetData>
    <row r="1">
      <c r="A1" s="1" t="inlineStr">
        <is>
          <t>COMBINED PURCHASE PLAN</t>
        </is>
      </c>
    </row>
    <row r="2">
      <c r="A2" s="18" t="inlineStr">
        <is>
          <t>Select Yes for every item you intend to buy together. The result checks the combined cost, preventing repeated-spending errors.</t>
        </is>
      </c>
    </row>
    <row r="3">
      <c r="A3" s="19" t="inlineStr">
        <is>
          <t>Include?</t>
        </is>
      </c>
      <c r="B3" s="19" t="inlineStr">
        <is>
          <t>Item</t>
        </is>
      </c>
      <c r="C3" s="19" t="inlineStr">
        <is>
          <t>Full upfront cost</t>
        </is>
      </c>
      <c r="D3" s="19" t="inlineStr">
        <is>
          <t>New monthly cost</t>
        </is>
      </c>
      <c r="E3" s="19" t="inlineStr">
        <is>
          <t>Input status</t>
        </is>
      </c>
      <c r="F3" s="19" t="inlineStr">
        <is>
          <t>Notes</t>
        </is>
      </c>
    </row>
    <row r="4">
      <c r="A4" s="3" t="inlineStr">
        <is>
          <t>No</t>
        </is>
      </c>
      <c r="B4" s="3" t="n"/>
      <c r="C4" s="4" t="n"/>
      <c r="D4" s="4" t="n"/>
      <c r="E4" s="2">
        <f>IF(A4&lt;&gt;"Yes","NOT SELECTED",IF(OR(B4="",C4="",NOT(ISNUMBER(C4)),C4&lt;=0,D4="",NOT(ISNUMBER(D4)),D4&lt;0),"INVALID","VALID"))</f>
        <v/>
      </c>
      <c r="F4" s="3" t="n"/>
    </row>
    <row r="5">
      <c r="A5" s="3" t="inlineStr">
        <is>
          <t>No</t>
        </is>
      </c>
      <c r="B5" s="3" t="n"/>
      <c r="C5" s="4" t="n"/>
      <c r="D5" s="4" t="n"/>
      <c r="E5" s="2">
        <f>IF(A5&lt;&gt;"Yes","NOT SELECTED",IF(OR(B5="",C5="",NOT(ISNUMBER(C5)),C5&lt;=0,D5="",NOT(ISNUMBER(D5)),D5&lt;0),"INVALID","VALID"))</f>
        <v/>
      </c>
      <c r="F5" s="3" t="n"/>
    </row>
    <row r="6">
      <c r="A6" s="3" t="inlineStr">
        <is>
          <t>No</t>
        </is>
      </c>
      <c r="B6" s="3" t="n"/>
      <c r="C6" s="4" t="n"/>
      <c r="D6" s="4" t="n"/>
      <c r="E6" s="2">
        <f>IF(A6&lt;&gt;"Yes","NOT SELECTED",IF(OR(B6="",C6="",NOT(ISNUMBER(C6)),C6&lt;=0,D6="",NOT(ISNUMBER(D6)),D6&lt;0),"INVALID","VALID"))</f>
        <v/>
      </c>
      <c r="F6" s="3" t="n"/>
    </row>
    <row r="7">
      <c r="A7" s="3" t="inlineStr">
        <is>
          <t>No</t>
        </is>
      </c>
      <c r="B7" s="3" t="n"/>
      <c r="C7" s="4" t="n"/>
      <c r="D7" s="4" t="n"/>
      <c r="E7" s="2">
        <f>IF(A7&lt;&gt;"Yes","NOT SELECTED",IF(OR(B7="",C7="",NOT(ISNUMBER(C7)),C7&lt;=0,D7="",NOT(ISNUMBER(D7)),D7&lt;0),"INVALID","VALID"))</f>
        <v/>
      </c>
      <c r="F7" s="3" t="n"/>
    </row>
    <row r="8">
      <c r="A8" s="3" t="inlineStr">
        <is>
          <t>No</t>
        </is>
      </c>
      <c r="B8" s="3" t="n"/>
      <c r="C8" s="4" t="n"/>
      <c r="D8" s="4" t="n"/>
      <c r="E8" s="2">
        <f>IF(A8&lt;&gt;"Yes","NOT SELECTED",IF(OR(B8="",C8="",NOT(ISNUMBER(C8)),C8&lt;=0,D8="",NOT(ISNUMBER(D8)),D8&lt;0),"INVALID","VALID"))</f>
        <v/>
      </c>
      <c r="F8" s="3" t="n"/>
    </row>
    <row r="9">
      <c r="A9" s="3" t="inlineStr">
        <is>
          <t>No</t>
        </is>
      </c>
      <c r="B9" s="3" t="n"/>
      <c r="C9" s="4" t="n"/>
      <c r="D9" s="4" t="n"/>
      <c r="E9" s="2">
        <f>IF(A9&lt;&gt;"Yes","NOT SELECTED",IF(OR(B9="",C9="",NOT(ISNUMBER(C9)),C9&lt;=0,D9="",NOT(ISNUMBER(D9)),D9&lt;0),"INVALID","VALID"))</f>
        <v/>
      </c>
      <c r="F9" s="3" t="n"/>
    </row>
    <row r="10">
      <c r="A10" s="3" t="inlineStr">
        <is>
          <t>No</t>
        </is>
      </c>
      <c r="B10" s="3" t="n"/>
      <c r="C10" s="4" t="n"/>
      <c r="D10" s="4" t="n"/>
      <c r="E10" s="2">
        <f>IF(A10&lt;&gt;"Yes","NOT SELECTED",IF(OR(B10="",C10="",NOT(ISNUMBER(C10)),C10&lt;=0,D10="",NOT(ISNUMBER(D10)),D10&lt;0),"INVALID","VALID"))</f>
        <v/>
      </c>
      <c r="F10" s="3" t="n"/>
    </row>
    <row r="11">
      <c r="A11" s="3" t="inlineStr">
        <is>
          <t>No</t>
        </is>
      </c>
      <c r="B11" s="3" t="n"/>
      <c r="C11" s="4" t="n"/>
      <c r="D11" s="4" t="n"/>
      <c r="E11" s="2">
        <f>IF(A11&lt;&gt;"Yes","NOT SELECTED",IF(OR(B11="",C11="",NOT(ISNUMBER(C11)),C11&lt;=0,D11="",NOT(ISNUMBER(D11)),D11&lt;0),"INVALID","VALID"))</f>
        <v/>
      </c>
      <c r="F11" s="3" t="n"/>
    </row>
    <row r="12">
      <c r="A12" s="3" t="inlineStr">
        <is>
          <t>No</t>
        </is>
      </c>
      <c r="B12" s="3" t="n"/>
      <c r="C12" s="4" t="n"/>
      <c r="D12" s="4" t="n"/>
      <c r="E12" s="2">
        <f>IF(A12&lt;&gt;"Yes","NOT SELECTED",IF(OR(B12="",C12="",NOT(ISNUMBER(C12)),C12&lt;=0,D12="",NOT(ISNUMBER(D12)),D12&lt;0),"INVALID","VALID"))</f>
        <v/>
      </c>
      <c r="F12" s="3" t="n"/>
    </row>
    <row r="13">
      <c r="A13" s="3" t="inlineStr">
        <is>
          <t>No</t>
        </is>
      </c>
      <c r="B13" s="3" t="n"/>
      <c r="C13" s="4" t="n"/>
      <c r="D13" s="4" t="n"/>
      <c r="E13" s="2">
        <f>IF(A13&lt;&gt;"Yes","NOT SELECTED",IF(OR(B13="",C13="",NOT(ISNUMBER(C13)),C13&lt;=0,D13="",NOT(ISNUMBER(D13)),D13&lt;0),"INVALID","VALID"))</f>
        <v/>
      </c>
      <c r="F13" s="3" t="n"/>
    </row>
    <row r="14">
      <c r="A14" s="3" t="inlineStr">
        <is>
          <t>No</t>
        </is>
      </c>
      <c r="B14" s="3" t="n"/>
      <c r="C14" s="4" t="n"/>
      <c r="D14" s="4" t="n"/>
      <c r="E14" s="2">
        <f>IF(A14&lt;&gt;"Yes","NOT SELECTED",IF(OR(B14="",C14="",NOT(ISNUMBER(C14)),C14&lt;=0,D14="",NOT(ISNUMBER(D14)),D14&lt;0),"INVALID","VALID"))</f>
        <v/>
      </c>
      <c r="F14" s="3" t="n"/>
    </row>
    <row r="15">
      <c r="A15" s="3" t="inlineStr">
        <is>
          <t>No</t>
        </is>
      </c>
      <c r="B15" s="3" t="n"/>
      <c r="C15" s="4" t="n"/>
      <c r="D15" s="4" t="n"/>
      <c r="E15" s="2">
        <f>IF(A15&lt;&gt;"Yes","NOT SELECTED",IF(OR(B15="",C15="",NOT(ISNUMBER(C15)),C15&lt;=0,D15="",NOT(ISNUMBER(D15)),D15&lt;0),"INVALID","VALID"))</f>
        <v/>
      </c>
      <c r="F15" s="3" t="n"/>
    </row>
    <row r="16">
      <c r="A16" s="3" t="inlineStr">
        <is>
          <t>No</t>
        </is>
      </c>
      <c r="B16" s="3" t="n"/>
      <c r="C16" s="4" t="n"/>
      <c r="D16" s="4" t="n"/>
      <c r="E16" s="2">
        <f>IF(A16&lt;&gt;"Yes","NOT SELECTED",IF(OR(B16="",C16="",NOT(ISNUMBER(C16)),C16&lt;=0,D16="",NOT(ISNUMBER(D16)),D16&lt;0),"INVALID","VALID"))</f>
        <v/>
      </c>
      <c r="F16" s="3" t="n"/>
    </row>
    <row r="17">
      <c r="A17" s="3" t="inlineStr">
        <is>
          <t>No</t>
        </is>
      </c>
      <c r="B17" s="3" t="n"/>
      <c r="C17" s="4" t="n"/>
      <c r="D17" s="4" t="n"/>
      <c r="E17" s="2">
        <f>IF(A17&lt;&gt;"Yes","NOT SELECTED",IF(OR(B17="",C17="",NOT(ISNUMBER(C17)),C17&lt;=0,D17="",NOT(ISNUMBER(D17)),D17&lt;0),"INVALID","VALID"))</f>
        <v/>
      </c>
      <c r="F17" s="3" t="n"/>
    </row>
    <row r="18">
      <c r="A18" s="3" t="inlineStr">
        <is>
          <t>No</t>
        </is>
      </c>
      <c r="B18" s="3" t="n"/>
      <c r="C18" s="4" t="n"/>
      <c r="D18" s="4" t="n"/>
      <c r="E18" s="2">
        <f>IF(A18&lt;&gt;"Yes","NOT SELECTED",IF(OR(B18="",C18="",NOT(ISNUMBER(C18)),C18&lt;=0,D18="",NOT(ISNUMBER(D18)),D18&lt;0),"INVALID","VALID"))</f>
        <v/>
      </c>
      <c r="F18" s="3" t="n"/>
    </row>
    <row r="19">
      <c r="A19" s="3" t="inlineStr">
        <is>
          <t>No</t>
        </is>
      </c>
      <c r="B19" s="3" t="n"/>
      <c r="C19" s="4" t="n"/>
      <c r="D19" s="4" t="n"/>
      <c r="E19" s="2">
        <f>IF(A19&lt;&gt;"Yes","NOT SELECTED",IF(OR(B19="",C19="",NOT(ISNUMBER(C19)),C19&lt;=0,D19="",NOT(ISNUMBER(D19)),D19&lt;0),"INVALID","VALID"))</f>
        <v/>
      </c>
      <c r="F19" s="3" t="n"/>
    </row>
    <row r="20">
      <c r="A20" s="3" t="inlineStr">
        <is>
          <t>No</t>
        </is>
      </c>
      <c r="B20" s="3" t="n"/>
      <c r="C20" s="4" t="n"/>
      <c r="D20" s="4" t="n"/>
      <c r="E20" s="2">
        <f>IF(A20&lt;&gt;"Yes","NOT SELECTED",IF(OR(B20="",C20="",NOT(ISNUMBER(C20)),C20&lt;=0,D20="",NOT(ISNUMBER(D20)),D20&lt;0),"INVALID","VALID"))</f>
        <v/>
      </c>
      <c r="F20" s="3" t="n"/>
    </row>
    <row r="21">
      <c r="A21" s="3" t="inlineStr">
        <is>
          <t>No</t>
        </is>
      </c>
      <c r="B21" s="3" t="n"/>
      <c r="C21" s="4" t="n"/>
      <c r="D21" s="4" t="n"/>
      <c r="E21" s="2">
        <f>IF(A21&lt;&gt;"Yes","NOT SELECTED",IF(OR(B21="",C21="",NOT(ISNUMBER(C21)),C21&lt;=0,D21="",NOT(ISNUMBER(D21)),D21&lt;0),"INVALID","VALID"))</f>
        <v/>
      </c>
      <c r="F21" s="3" t="n"/>
    </row>
    <row r="22">
      <c r="A22" s="3" t="inlineStr">
        <is>
          <t>No</t>
        </is>
      </c>
      <c r="B22" s="3" t="n"/>
      <c r="C22" s="4" t="n"/>
      <c r="D22" s="4" t="n"/>
      <c r="E22" s="2">
        <f>IF(A22&lt;&gt;"Yes","NOT SELECTED",IF(OR(B22="",C22="",NOT(ISNUMBER(C22)),C22&lt;=0,D22="",NOT(ISNUMBER(D22)),D22&lt;0),"INVALID","VALID"))</f>
        <v/>
      </c>
      <c r="F22" s="3" t="n"/>
    </row>
    <row r="23">
      <c r="A23" s="3" t="inlineStr">
        <is>
          <t>No</t>
        </is>
      </c>
      <c r="B23" s="3" t="n"/>
      <c r="C23" s="4" t="n"/>
      <c r="D23" s="4" t="n"/>
      <c r="E23" s="2">
        <f>IF(A23&lt;&gt;"Yes","NOT SELECTED",IF(OR(B23="",C23="",NOT(ISNUMBER(C23)),C23&lt;=0,D23="",NOT(ISNUMBER(D23)),D23&lt;0),"INVALID","VALID"))</f>
        <v/>
      </c>
      <c r="F23" s="3" t="n"/>
    </row>
    <row r="25">
      <c r="A25" s="5" t="inlineStr">
        <is>
          <t>COMBINED RESULT</t>
        </is>
      </c>
    </row>
    <row r="26">
      <c r="A26" s="20" t="inlineStr">
        <is>
          <t>Selected item count</t>
        </is>
      </c>
      <c r="B26" s="21">
        <f>COUNTIF(A4:A23,"Yes")</f>
        <v/>
      </c>
    </row>
    <row r="27">
      <c r="A27" s="20" t="inlineStr">
        <is>
          <t>Selected upfront total</t>
        </is>
      </c>
      <c r="B27" s="22">
        <f>SUMIF(A4:A23,"Yes",C4:C23)</f>
        <v/>
      </c>
    </row>
    <row r="28">
      <c r="A28" s="20" t="inlineStr">
        <is>
          <t>Selected recurring monthly total</t>
        </is>
      </c>
      <c r="B28" s="22">
        <f>SUMIF(A4:A23,"Yes",D4:D23)</f>
        <v/>
      </c>
    </row>
    <row r="29">
      <c r="A29" s="20" t="inlineStr">
        <is>
          <t>Total cash required</t>
        </is>
      </c>
      <c r="B29" s="22">
        <f>'Budget Setup'!B20+B27</f>
        <v/>
      </c>
    </row>
    <row r="30">
      <c r="A30" s="20" t="inlineStr">
        <is>
          <t>Money still needed</t>
        </is>
      </c>
      <c r="B30" s="22">
        <f>MAX(0,B29-'Budget Setup'!B5)</f>
        <v/>
      </c>
    </row>
    <row r="31">
      <c r="A31" s="20" t="inlineStr">
        <is>
          <t>Months to wait</t>
        </is>
      </c>
      <c r="B31" s="21">
        <f>IF(B26=0,"",IF(B30=0,0,IF('Budget Setup'!B17&lt;=0,"N/A",ROUNDUP(B30/'Budget Setup'!B17,0))))</f>
        <v/>
      </c>
    </row>
    <row r="32">
      <c r="A32" s="20" t="inlineStr">
        <is>
          <t>Earliest combined purchase date</t>
        </is>
      </c>
      <c r="B32" s="23">
        <f>IF(B26=0,"",IF(B30=0,'Budget Setup'!B3,IF('Budget Setup'!B17&lt;=0,"",DATE(YEAR(EDATE('Budget Setup'!B7,B31-1)),MONTH(EDATE('Budget Setup'!B7,B31-1)),MIN('Budget Setup'!B8,DAY(EOMONTH(EDATE('Budget Setup'!B7,B31-1),0)))))))</f>
        <v/>
      </c>
    </row>
    <row r="33">
      <c r="A33" s="20" t="inlineStr">
        <is>
          <t>Combined decision</t>
        </is>
      </c>
      <c r="B33" s="24">
        <f>IF(B26=0,"SELECT ITEMS",IF(COUNTIFS(A4:A23,"Yes",E4:E23,"&lt;&gt;VALID")&gt;0,"INVALID SELECTED ITEM",IF('Budget Setup'!B26&lt;&gt;"VALID","INVALID BUDGET INPUT",IF('Budget Setup'!B22&gt;0,"URGENT CASH SHORTFALL",IF(AND(B28&gt;0,B28&gt;'Budget Setup'!B17),"NOT AFFORDABLE: RECURRING COST",IF(B27&lt;='Budget Setup'!B25,"BUY NOW",IF('Budget Setup'!B17&lt;=0,"NOT AFFORDABLE WITH CURRENT BUDGET","WAIT UNTIL "&amp;TEXT(B32,"dd-mmm-yyyy"))))))))</f>
        <v/>
      </c>
    </row>
  </sheetData>
  <mergeCells count="3">
    <mergeCell ref="A2:F2"/>
    <mergeCell ref="A1:F1"/>
    <mergeCell ref="A25:F25"/>
  </mergeCells>
  <conditionalFormatting sqref="B33">
    <cfRule type="expression" priority="1" dxfId="3">
      <formula>LEFT(B33,7)="BUY NOW"</formula>
    </cfRule>
    <cfRule type="expression" priority="2" dxfId="4">
      <formula>LEFT(B33,4)="WAIT"</formula>
    </cfRule>
    <cfRule type="expression" priority="3" dxfId="5">
      <formula>OR(LEFT(B33,3)="NOT",LEFT(B33,6)="URGENT",LEFT(B33,7)="INVALID")</formula>
    </cfRule>
  </conditionalFormatting>
  <dataValidations count="3">
    <dataValidation sqref="A4:A23" showDropDown="0" showInputMessage="0" showErrorMessage="0" allowBlank="0" type="list">
      <formula1>"No,Yes"</formula1>
    </dataValidation>
    <dataValidation sqref="C4:C23" showDropDown="0" showInputMessage="0" showErrorMessage="0" allowBlank="1" type="decimal" operator="greaterThan">
      <formula1>0</formula1>
    </dataValidation>
    <dataValidation sqref="D4:D23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showGridLines="0"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6" customWidth="1" min="4" max="4"/>
    <col width="14" customWidth="1" min="5" max="5"/>
    <col width="10" customWidth="1" min="6" max="6"/>
    <col width="14" customWidth="1" min="7" max="7"/>
    <col width="14" customWidth="1" min="8" max="8"/>
    <col width="28" customWidth="1" min="9" max="9"/>
    <col width="28" customWidth="1" min="10" max="10"/>
    <col width="12" customWidth="1" min="11" max="11"/>
  </cols>
  <sheetData>
    <row r="1">
      <c r="A1" s="1" t="inlineStr">
        <is>
          <t>BUILT-IN MODEL VALIDATION</t>
        </is>
      </c>
    </row>
    <row r="2">
      <c r="A2" s="19" t="inlineStr">
        <is>
          <t>Case</t>
        </is>
      </c>
      <c r="B2" s="19" t="inlineStr">
        <is>
          <t>Balance</t>
        </is>
      </c>
      <c r="C2" s="19" t="inlineStr">
        <is>
          <t>Income</t>
        </is>
      </c>
      <c r="D2" s="19" t="inlineStr">
        <is>
          <t>Commitments</t>
        </is>
      </c>
      <c r="E2" s="19" t="inlineStr">
        <is>
          <t>Upcoming</t>
        </is>
      </c>
      <c r="F2" s="19" t="inlineStr">
        <is>
          <t>Buffer</t>
        </is>
      </c>
      <c r="G2" s="19" t="inlineStr">
        <is>
          <t>Price</t>
        </is>
      </c>
      <c r="H2" s="19" t="inlineStr">
        <is>
          <t>Recurring</t>
        </is>
      </c>
      <c r="I2" s="19" t="inlineStr">
        <is>
          <t>Expected</t>
        </is>
      </c>
      <c r="J2" s="19" t="inlineStr">
        <is>
          <t>Calculated</t>
        </is>
      </c>
      <c r="K2" s="19" t="inlineStr">
        <is>
          <t>Status</t>
        </is>
      </c>
    </row>
    <row r="3">
      <c r="A3" s="2" t="inlineStr">
        <is>
          <t>Normal buy now</t>
        </is>
      </c>
      <c r="B3" s="8" t="n">
        <v>10000</v>
      </c>
      <c r="C3" s="8" t="n">
        <v>5000</v>
      </c>
      <c r="D3" s="8" t="n">
        <v>3000</v>
      </c>
      <c r="E3" s="8" t="n">
        <v>100</v>
      </c>
      <c r="F3" s="25" t="n">
        <v>2</v>
      </c>
      <c r="G3" s="8" t="n">
        <v>1000</v>
      </c>
      <c r="H3" s="8" t="n">
        <v>0</v>
      </c>
      <c r="I3" s="2" t="inlineStr">
        <is>
          <t>BUY NOW</t>
        </is>
      </c>
      <c r="J3" s="2">
        <f>IF(OR(C3&lt;0,D3&lt;0,E3&lt;0,F3&lt;0,G3&lt;0,H3&lt;0),"INVALID INPUT",IF(G3=0,"ENTER A VALID PRICE",IF(MAX(0,E3-B3)&gt;0,"URGENT CASH SHORTFALL",IF(AND(H3&gt;0,H3&gt;C3-D3),"NOT AFFORDABLE: RECURRING COST",IF(G3&lt;=MAX(0,B3-(D3*F3+E3)),"BUY NOW",IF(C3-D3&lt;=0,"NOT AFFORDABLE","WAIT"))))))</f>
        <v/>
      </c>
      <c r="K3" s="2">
        <f>IF(I3=J3,"PASS","FAIL")</f>
        <v/>
      </c>
    </row>
    <row r="4">
      <c r="A4" s="2" t="inlineStr">
        <is>
          <t>Needs saving</t>
        </is>
      </c>
      <c r="B4" s="8" t="n">
        <v>1000</v>
      </c>
      <c r="C4" s="8" t="n">
        <v>5000</v>
      </c>
      <c r="D4" s="8" t="n">
        <v>3000</v>
      </c>
      <c r="E4" s="8" t="n">
        <v>500</v>
      </c>
      <c r="F4" s="25" t="n">
        <v>2</v>
      </c>
      <c r="G4" s="8" t="n">
        <v>2500</v>
      </c>
      <c r="H4" s="8" t="n">
        <v>0</v>
      </c>
      <c r="I4" s="2" t="inlineStr">
        <is>
          <t>WAIT</t>
        </is>
      </c>
      <c r="J4" s="2">
        <f>IF(OR(C4&lt;0,D4&lt;0,E4&lt;0,F4&lt;0,G4&lt;0,H4&lt;0),"INVALID INPUT",IF(G4=0,"ENTER A VALID PRICE",IF(MAX(0,E4-B4)&gt;0,"URGENT CASH SHORTFALL",IF(AND(H4&gt;0,H4&gt;C4-D4),"NOT AFFORDABLE: RECURRING COST",IF(G4&lt;=MAX(0,B4-(D4*F4+E4)),"BUY NOW",IF(C4-D4&lt;=0,"NOT AFFORDABLE","WAIT"))))))</f>
        <v/>
      </c>
      <c r="K4" s="2">
        <f>IF(I4=J4,"PASS","FAIL")</f>
        <v/>
      </c>
    </row>
    <row r="5">
      <c r="A5" s="2" t="inlineStr">
        <is>
          <t>Zero price</t>
        </is>
      </c>
      <c r="B5" s="8" t="n">
        <v>1000</v>
      </c>
      <c r="C5" s="8" t="n">
        <v>3000</v>
      </c>
      <c r="D5" s="8" t="n">
        <v>2000</v>
      </c>
      <c r="E5" s="8" t="n">
        <v>0</v>
      </c>
      <c r="F5" s="25" t="n">
        <v>1</v>
      </c>
      <c r="G5" s="8" t="n">
        <v>0</v>
      </c>
      <c r="H5" s="8" t="n">
        <v>0</v>
      </c>
      <c r="I5" s="2" t="inlineStr">
        <is>
          <t>ENTER A VALID PRICE</t>
        </is>
      </c>
      <c r="J5" s="2">
        <f>IF(OR(C5&lt;0,D5&lt;0,E5&lt;0,F5&lt;0,G5&lt;0,H5&lt;0),"INVALID INPUT",IF(G5=0,"ENTER A VALID PRICE",IF(MAX(0,E5-B5)&gt;0,"URGENT CASH SHORTFALL",IF(AND(H5&gt;0,H5&gt;C5-D5),"NOT AFFORDABLE: RECURRING COST",IF(G5&lt;=MAX(0,B5-(D5*F5+E5)),"BUY NOW",IF(C5-D5&lt;=0,"NOT AFFORDABLE","WAIT"))))))</f>
        <v/>
      </c>
      <c r="K5" s="2">
        <f>IF(I5=J5,"PASS","FAIL")</f>
        <v/>
      </c>
    </row>
    <row r="6">
      <c r="A6" s="2" t="inlineStr">
        <is>
          <t>Negative price</t>
        </is>
      </c>
      <c r="B6" s="8" t="n">
        <v>1000</v>
      </c>
      <c r="C6" s="8" t="n">
        <v>3000</v>
      </c>
      <c r="D6" s="8" t="n">
        <v>2000</v>
      </c>
      <c r="E6" s="8" t="n">
        <v>0</v>
      </c>
      <c r="F6" s="25" t="n">
        <v>1</v>
      </c>
      <c r="G6" s="8" t="n">
        <v>-1</v>
      </c>
      <c r="H6" s="8" t="n">
        <v>0</v>
      </c>
      <c r="I6" s="2" t="inlineStr">
        <is>
          <t>INVALID INPUT</t>
        </is>
      </c>
      <c r="J6" s="2">
        <f>IF(OR(C6&lt;0,D6&lt;0,E6&lt;0,F6&lt;0,G6&lt;0,H6&lt;0),"INVALID INPUT",IF(G6=0,"ENTER A VALID PRICE",IF(MAX(0,E6-B6)&gt;0,"URGENT CASH SHORTFALL",IF(AND(H6&gt;0,H6&gt;C6-D6),"NOT AFFORDABLE: RECURRING COST",IF(G6&lt;=MAX(0,B6-(D6*F6+E6)),"BUY NOW",IF(C6-D6&lt;=0,"NOT AFFORDABLE","WAIT"))))))</f>
        <v/>
      </c>
      <c r="K6" s="2">
        <f>IF(I6=J6,"PASS","FAIL")</f>
        <v/>
      </c>
    </row>
    <row r="7">
      <c r="A7" s="2" t="inlineStr">
        <is>
          <t>Negative buffer</t>
        </is>
      </c>
      <c r="B7" s="8" t="n">
        <v>0</v>
      </c>
      <c r="C7" s="8" t="n">
        <v>3000</v>
      </c>
      <c r="D7" s="8" t="n">
        <v>2000</v>
      </c>
      <c r="E7" s="8" t="n">
        <v>0</v>
      </c>
      <c r="F7" s="25" t="n">
        <v>-1</v>
      </c>
      <c r="G7" s="8" t="n">
        <v>500</v>
      </c>
      <c r="H7" s="8" t="n">
        <v>0</v>
      </c>
      <c r="I7" s="2" t="inlineStr">
        <is>
          <t>INVALID INPUT</t>
        </is>
      </c>
      <c r="J7" s="2">
        <f>IF(OR(C7&lt;0,D7&lt;0,E7&lt;0,F7&lt;0,G7&lt;0,H7&lt;0),"INVALID INPUT",IF(G7=0,"ENTER A VALID PRICE",IF(MAX(0,E7-B7)&gt;0,"URGENT CASH SHORTFALL",IF(AND(H7&gt;0,H7&gt;C7-D7),"NOT AFFORDABLE: RECURRING COST",IF(G7&lt;=MAX(0,B7-(D7*F7+E7)),"BUY NOW",IF(C7-D7&lt;=0,"NOT AFFORDABLE","WAIT"))))))</f>
        <v/>
      </c>
      <c r="K7" s="2">
        <f>IF(I7=J7,"PASS","FAIL")</f>
        <v/>
      </c>
    </row>
    <row r="8">
      <c r="A8" s="2" t="inlineStr">
        <is>
          <t>Negative commitments</t>
        </is>
      </c>
      <c r="B8" s="8" t="n">
        <v>0</v>
      </c>
      <c r="C8" s="8" t="n">
        <v>3000</v>
      </c>
      <c r="D8" s="8" t="n">
        <v>-1000</v>
      </c>
      <c r="E8" s="8" t="n">
        <v>0</v>
      </c>
      <c r="F8" s="25" t="n">
        <v>1</v>
      </c>
      <c r="G8" s="8" t="n">
        <v>500</v>
      </c>
      <c r="H8" s="8" t="n">
        <v>0</v>
      </c>
      <c r="I8" s="2" t="inlineStr">
        <is>
          <t>INVALID INPUT</t>
        </is>
      </c>
      <c r="J8" s="2">
        <f>IF(OR(C8&lt;0,D8&lt;0,E8&lt;0,F8&lt;0,G8&lt;0,H8&lt;0),"INVALID INPUT",IF(G8=0,"ENTER A VALID PRICE",IF(MAX(0,E8-B8)&gt;0,"URGENT CASH SHORTFALL",IF(AND(H8&gt;0,H8&gt;C8-D8),"NOT AFFORDABLE: RECURRING COST",IF(G8&lt;=MAX(0,B8-(D8*F8+E8)),"BUY NOW",IF(C8-D8&lt;=0,"NOT AFFORDABLE","WAIT"))))))</f>
        <v/>
      </c>
      <c r="K8" s="2">
        <f>IF(I8=J8,"PASS","FAIL")</f>
        <v/>
      </c>
    </row>
    <row r="9">
      <c r="A9" s="2" t="inlineStr">
        <is>
          <t>Zero surplus but cash available</t>
        </is>
      </c>
      <c r="B9" s="8" t="n">
        <v>10000</v>
      </c>
      <c r="C9" s="8" t="n">
        <v>1000</v>
      </c>
      <c r="D9" s="8" t="n">
        <v>1000</v>
      </c>
      <c r="E9" s="8" t="n">
        <v>0</v>
      </c>
      <c r="F9" s="25" t="n">
        <v>6</v>
      </c>
      <c r="G9" s="8" t="n">
        <v>500</v>
      </c>
      <c r="H9" s="8" t="n">
        <v>0</v>
      </c>
      <c r="I9" s="2" t="inlineStr">
        <is>
          <t>BUY NOW</t>
        </is>
      </c>
      <c r="J9" s="2">
        <f>IF(OR(C9&lt;0,D9&lt;0,E9&lt;0,F9&lt;0,G9&lt;0,H9&lt;0),"INVALID INPUT",IF(G9=0,"ENTER A VALID PRICE",IF(MAX(0,E9-B9)&gt;0,"URGENT CASH SHORTFALL",IF(AND(H9&gt;0,H9&gt;C9-D9),"NOT AFFORDABLE: RECURRING COST",IF(G9&lt;=MAX(0,B9-(D9*F9+E9)),"BUY NOW",IF(C9-D9&lt;=0,"NOT AFFORDABLE","WAIT"))))))</f>
        <v/>
      </c>
      <c r="K9" s="2">
        <f>IF(I9=J9,"PASS","FAIL")</f>
        <v/>
      </c>
    </row>
    <row r="10">
      <c r="A10" s="2" t="inlineStr">
        <is>
          <t>Zero surplus and shortage</t>
        </is>
      </c>
      <c r="B10" s="8" t="n">
        <v>6000</v>
      </c>
      <c r="C10" s="8" t="n">
        <v>1000</v>
      </c>
      <c r="D10" s="8" t="n">
        <v>1000</v>
      </c>
      <c r="E10" s="8" t="n">
        <v>0</v>
      </c>
      <c r="F10" s="25" t="n">
        <v>6</v>
      </c>
      <c r="G10" s="8" t="n">
        <v>500</v>
      </c>
      <c r="H10" s="8" t="n">
        <v>0</v>
      </c>
      <c r="I10" s="2" t="inlineStr">
        <is>
          <t>NOT AFFORDABLE</t>
        </is>
      </c>
      <c r="J10" s="2">
        <f>IF(OR(C10&lt;0,D10&lt;0,E10&lt;0,F10&lt;0,G10&lt;0,H10&lt;0),"INVALID INPUT",IF(G10=0,"ENTER A VALID PRICE",IF(MAX(0,E10-B10)&gt;0,"URGENT CASH SHORTFALL",IF(AND(H10&gt;0,H10&gt;C10-D10),"NOT AFFORDABLE: RECURRING COST",IF(G10&lt;=MAX(0,B10-(D10*F10+E10)),"BUY NOW",IF(C10-D10&lt;=0,"NOT AFFORDABLE","WAIT"))))))</f>
        <v/>
      </c>
      <c r="K10" s="2">
        <f>IF(I10=J10,"PASS","FAIL")</f>
        <v/>
      </c>
    </row>
    <row r="11">
      <c r="A11" s="2" t="inlineStr">
        <is>
          <t>Urgent pre-income shortage</t>
        </is>
      </c>
      <c r="B11" s="8" t="n">
        <v>100</v>
      </c>
      <c r="C11" s="8" t="n">
        <v>1000</v>
      </c>
      <c r="D11" s="8" t="n">
        <v>800</v>
      </c>
      <c r="E11" s="8" t="n">
        <v>500</v>
      </c>
      <c r="F11" s="25" t="n">
        <v>1</v>
      </c>
      <c r="G11" s="8" t="n">
        <v>100</v>
      </c>
      <c r="H11" s="8" t="n">
        <v>0</v>
      </c>
      <c r="I11" s="2" t="inlineStr">
        <is>
          <t>URGENT CASH SHORTFALL</t>
        </is>
      </c>
      <c r="J11" s="2">
        <f>IF(OR(C11&lt;0,D11&lt;0,E11&lt;0,F11&lt;0,G11&lt;0,H11&lt;0),"INVALID INPUT",IF(G11=0,"ENTER A VALID PRICE",IF(MAX(0,E11-B11)&gt;0,"URGENT CASH SHORTFALL",IF(AND(H11&gt;0,H11&gt;C11-D11),"NOT AFFORDABLE: RECURRING COST",IF(G11&lt;=MAX(0,B11-(D11*F11+E11)),"BUY NOW",IF(C11-D11&lt;=0,"NOT AFFORDABLE","WAIT"))))))</f>
        <v/>
      </c>
      <c r="K11" s="2">
        <f>IF(I11=J11,"PASS","FAIL")</f>
        <v/>
      </c>
    </row>
    <row r="12">
      <c r="A12" s="2" t="inlineStr">
        <is>
          <t>Recurring cost too high</t>
        </is>
      </c>
      <c r="B12" s="8" t="n">
        <v>30000</v>
      </c>
      <c r="C12" s="8" t="n">
        <v>8000</v>
      </c>
      <c r="D12" s="8" t="n">
        <v>3400</v>
      </c>
      <c r="E12" s="8" t="n">
        <v>0</v>
      </c>
      <c r="F12" s="25" t="n">
        <v>6</v>
      </c>
      <c r="G12" s="8" t="n">
        <v>1000</v>
      </c>
      <c r="H12" s="8" t="n">
        <v>5000</v>
      </c>
      <c r="I12" s="2" t="inlineStr">
        <is>
          <t>NOT AFFORDABLE: RECURRING COST</t>
        </is>
      </c>
      <c r="J12" s="2">
        <f>IF(OR(C12&lt;0,D12&lt;0,E12&lt;0,F12&lt;0,G12&lt;0,H12&lt;0),"INVALID INPUT",IF(G12=0,"ENTER A VALID PRICE",IF(MAX(0,E12-B12)&gt;0,"URGENT CASH SHORTFALL",IF(AND(H12&gt;0,H12&gt;C12-D12),"NOT AFFORDABLE: RECURRING COST",IF(G12&lt;=MAX(0,B12-(D12*F12+E12)),"BUY NOW",IF(C12-D12&lt;=0,"NOT AFFORDABLE","WAIT"))))))</f>
        <v/>
      </c>
      <c r="K12" s="2">
        <f>IF(I12=J12,"PASS","FAIL")</f>
        <v/>
      </c>
    </row>
    <row r="13">
      <c r="A13" s="2" t="inlineStr">
        <is>
          <t>Exact boundary</t>
        </is>
      </c>
      <c r="B13" s="8" t="n">
        <v>24400</v>
      </c>
      <c r="C13" s="8" t="n">
        <v>8000</v>
      </c>
      <c r="D13" s="8" t="n">
        <v>3400</v>
      </c>
      <c r="E13" s="8" t="n">
        <v>0</v>
      </c>
      <c r="F13" s="25" t="n">
        <v>6</v>
      </c>
      <c r="G13" s="8" t="n">
        <v>4000</v>
      </c>
      <c r="H13" s="8" t="n">
        <v>0</v>
      </c>
      <c r="I13" s="2" t="inlineStr">
        <is>
          <t>BUY NOW</t>
        </is>
      </c>
      <c r="J13" s="2">
        <f>IF(OR(C13&lt;0,D13&lt;0,E13&lt;0,F13&lt;0,G13&lt;0,H13&lt;0),"INVALID INPUT",IF(G13=0,"ENTER A VALID PRICE",IF(MAX(0,E13-B13)&gt;0,"URGENT CASH SHORTFALL",IF(AND(H13&gt;0,H13&gt;C13-D13),"NOT AFFORDABLE: RECURRING COST",IF(G13&lt;=MAX(0,B13-(D13*F13+E13)),"BUY NOW",IF(C13-D13&lt;=0,"NOT AFFORDABLE","WAIT"))))))</f>
        <v/>
      </c>
      <c r="K13" s="2">
        <f>IF(I13=J13,"PASS","FAIL")</f>
        <v/>
      </c>
    </row>
    <row r="14">
      <c r="A14" s="2" t="inlineStr">
        <is>
          <t>Fractional buffer</t>
        </is>
      </c>
      <c r="B14" s="8" t="n">
        <v>1000</v>
      </c>
      <c r="C14" s="8" t="n">
        <v>4000</v>
      </c>
      <c r="D14" s="8" t="n">
        <v>2500</v>
      </c>
      <c r="E14" s="8" t="n">
        <v>250</v>
      </c>
      <c r="F14" s="25" t="n">
        <v>0.5</v>
      </c>
      <c r="G14" s="8" t="n">
        <v>100</v>
      </c>
      <c r="H14" s="8" t="n">
        <v>0</v>
      </c>
      <c r="I14" s="2" t="inlineStr">
        <is>
          <t>WAIT</t>
        </is>
      </c>
      <c r="J14" s="2">
        <f>IF(OR(C14&lt;0,D14&lt;0,E14&lt;0,F14&lt;0,G14&lt;0,H14&lt;0),"INVALID INPUT",IF(G14=0,"ENTER A VALID PRICE",IF(MAX(0,E14-B14)&gt;0,"URGENT CASH SHORTFALL",IF(AND(H14&gt;0,H14&gt;C14-D14),"NOT AFFORDABLE: RECURRING COST",IF(G14&lt;=MAX(0,B14-(D14*F14+E14)),"BUY NOW",IF(C14-D14&lt;=0,"NOT AFFORDABLE","WAIT"))))))</f>
        <v/>
      </c>
      <c r="K14" s="2">
        <f>IF(I14=J14,"PASS","FAIL")</f>
        <v/>
      </c>
    </row>
    <row r="15">
      <c r="A15" s="2" t="inlineStr">
        <is>
          <t>Negative balance</t>
        </is>
      </c>
      <c r="B15" s="8" t="n">
        <v>-100</v>
      </c>
      <c r="C15" s="8" t="n">
        <v>3000</v>
      </c>
      <c r="D15" s="8" t="n">
        <v>2000</v>
      </c>
      <c r="E15" s="8" t="n">
        <v>0</v>
      </c>
      <c r="F15" s="25" t="n">
        <v>1</v>
      </c>
      <c r="G15" s="8" t="n">
        <v>500</v>
      </c>
      <c r="H15" s="8" t="n">
        <v>0</v>
      </c>
      <c r="I15" s="2" t="inlineStr">
        <is>
          <t>WAIT</t>
        </is>
      </c>
      <c r="J15" s="2">
        <f>IF(OR(C15&lt;0,D15&lt;0,E15&lt;0,F15&lt;0,G15&lt;0,H15&lt;0),"INVALID INPUT",IF(G15=0,"ENTER A VALID PRICE",IF(MAX(0,E15-B15)&gt;0,"URGENT CASH SHORTFALL",IF(AND(H15&gt;0,H15&gt;C15-D15),"NOT AFFORDABLE: RECURRING COST",IF(G15&lt;=MAX(0,B15-(D15*F15+E15)),"BUY NOW",IF(C15-D15&lt;=0,"NOT AFFORDABLE","WAIT"))))))</f>
        <v/>
      </c>
      <c r="K15" s="2">
        <f>IF(I15=J15,"PASS","FAIL")</f>
        <v/>
      </c>
    </row>
  </sheetData>
  <mergeCells count="1">
    <mergeCell ref="A1:K1"/>
  </mergeCells>
  <conditionalFormatting sqref="K3:K15">
    <cfRule type="expression" priority="1" dxfId="3">
      <formula>K3="PASS"</formula>
    </cfRule>
    <cfRule type="expression" priority="2" dxfId="5">
      <formula>K3="FAIL"</formula>
    </cfRule>
  </conditionalFormatting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zoomScale="90" workbookViewId="0">
      <selection activeCell="A1" sqref="A1"/>
    </sheetView>
  </sheetViews>
  <sheetFormatPr baseColWidth="8" defaultRowHeight="15"/>
  <cols>
    <col width="5" customWidth="1" min="1" max="1"/>
    <col width="31" customWidth="1" min="2" max="2"/>
    <col width="86" customWidth="1" min="3" max="3"/>
  </cols>
  <sheetData>
    <row r="1">
      <c r="A1" s="1" t="inlineStr">
        <is>
          <t>HOW TO USE THE CALCULATOR</t>
        </is>
      </c>
    </row>
    <row r="3" ht="46" customHeight="1">
      <c r="A3" s="26" t="inlineStr">
        <is>
          <t>1</t>
        </is>
      </c>
      <c r="B3" s="6" t="inlineStr">
        <is>
          <t>Update Budget Setup</t>
        </is>
      </c>
      <c r="C3" s="2" t="inlineStr">
        <is>
          <t>Enter only cleared spendable cash. Exclude protected savings, credit limits, and pending deposits.</t>
        </is>
      </c>
    </row>
    <row r="4" ht="46" customHeight="1">
      <c r="A4" s="26" t="inlineStr">
        <is>
          <t>2</t>
        </is>
      </c>
      <c r="B4" s="6" t="inlineStr">
        <is>
          <t>Use the next confirmed income date</t>
        </is>
      </c>
      <c r="C4" s="2" t="inlineStr">
        <is>
          <t>The date must represent income not already included in the balance. The calculator assumes a regular monthly cycle.</t>
        </is>
      </c>
    </row>
    <row r="5" ht="46" customHeight="1">
      <c r="A5" s="26" t="inlineStr">
        <is>
          <t>3</t>
        </is>
      </c>
      <c r="B5" s="6" t="inlineStr">
        <is>
          <t>Record near-term obligations</t>
        </is>
      </c>
      <c r="C5" s="2" t="inlineStr">
        <is>
          <t>Enter confirmed unavoidable expenses due before the next income. A positive urgent-shortfall result blocks optional purchases.</t>
        </is>
      </c>
    </row>
    <row r="6" ht="46" customHeight="1">
      <c r="A6" s="26" t="inlineStr">
        <is>
          <t>4</t>
        </is>
      </c>
      <c r="B6" s="6" t="inlineStr">
        <is>
          <t>Choose a buffer</t>
        </is>
      </c>
      <c r="C6" s="2" t="inlineStr">
        <is>
          <t>Set the number of months of commitments to protect. All safe-zone and purchase calculations use the same reserve definition.</t>
        </is>
      </c>
    </row>
    <row r="7" ht="46" customHeight="1">
      <c r="A7" s="26" t="inlineStr">
        <is>
          <t>5</t>
        </is>
      </c>
      <c r="B7" s="6" t="inlineStr">
        <is>
          <t>Check one purchase</t>
        </is>
      </c>
      <c r="C7" s="2" t="inlineStr">
        <is>
          <t>In Quick Check, enter the complete upfront cost and any new recurring monthly cost.</t>
        </is>
      </c>
    </row>
    <row r="8" ht="46" customHeight="1">
      <c r="A8" s="26" t="inlineStr">
        <is>
          <t>6</t>
        </is>
      </c>
      <c r="B8" s="6" t="inlineStr">
        <is>
          <t>Plan several purchases</t>
        </is>
      </c>
      <c r="C8" s="2" t="inlineStr">
        <is>
          <t>In Purchase Plan, select Yes for items intended together. The sheet evaluates their combined cost rather than approving each independently.</t>
        </is>
      </c>
    </row>
    <row r="9" ht="46" customHeight="1">
      <c r="A9" s="26" t="inlineStr">
        <is>
          <t>7</t>
        </is>
      </c>
      <c r="B9" s="6" t="inlineStr">
        <is>
          <t>Recalculate after every transaction</t>
        </is>
      </c>
      <c r="C9" s="2" t="inlineStr">
        <is>
          <t>A BUY NOW result is valid once against the recorded balance. Update the balance after buying, receiving income, paying an expense, or receiving a refund.</t>
        </is>
      </c>
    </row>
    <row r="10" ht="46" customHeight="1">
      <c r="A10" s="26" t="inlineStr">
        <is>
          <t>8</t>
        </is>
      </c>
      <c r="B10" s="6" t="inlineStr">
        <is>
          <t>Know the scope</t>
        </is>
      </c>
      <c r="C10" s="2" t="inlineStr">
        <is>
          <t>This version models regular monthly income. For irregular, weekly, biweekly, or seasonal income, use a conservative monthly figure and do not rely on distant dates.</t>
        </is>
      </c>
    </row>
    <row r="13">
      <c r="B13" s="6" t="inlineStr">
        <is>
          <t>Decision order</t>
        </is>
      </c>
      <c r="C13" s="2" t="inlineStr">
        <is>
          <t>INVALID INPUT → URGENT CASH SHORTFALL → recurring-cost check → BUY NOW → NOT AFFORDABLE → WAIT UNTIL.</t>
        </is>
      </c>
    </row>
    <row r="14">
      <c r="B14" s="6" t="inlineStr">
        <is>
          <t>Disclaimer</t>
        </is>
      </c>
      <c r="C14" s="2" t="inlineStr">
        <is>
          <t>This is a conservative planning tool, not professional financial advice. Dates depend on accurate, current inputs.</t>
        </is>
      </c>
    </row>
  </sheetData>
  <mergeCells count="1">
    <mergeCell ref="A1:C1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2026-10-07T18:38:44Z</dcterms:created>
  <dcterms:modified xmlns:dcterms="http://purl.org/dc/terms/" xmlns:xsi="http://www.w3.org/2001/XMLSchema-instance" xsi:type="dcterms:W3CDTF">2026-10-07T18:38:44Z</dcterms:modified>
</cp:coreProperties>
</file>