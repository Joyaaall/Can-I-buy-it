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iya\Downloads\"/>
    </mc:Choice>
  </mc:AlternateContent>
  <xr:revisionPtr revIDLastSave="0" documentId="13_ncr:1_{17A447D2-5B9C-4D9C-AB81-93167E1D9DC0}" xr6:coauthVersionLast="47" xr6:coauthVersionMax="47" xr10:uidLastSave="{00000000-0000-0000-0000-000000000000}"/>
  <bookViews>
    <workbookView xWindow="-108" yWindow="-108" windowWidth="23256" windowHeight="12456" activeTab="1" xr2:uid="{00000000-000D-0000-FFFF-FFFF00000000}"/>
  </bookViews>
  <sheets>
    <sheet name="Quick Check" sheetId="1" r:id="rId1"/>
    <sheet name="My Budget" sheetId="2" r:id="rId2"/>
    <sheet name="Compare Items" sheetId="3" r:id="rId3"/>
    <sheet name="How It Works" sheetId="4" r:id="rId4"/>
  </sheets>
  <definedNames>
    <definedName name="_xlnm._FilterDatabase" localSheetId="2" hidden="1">'Compare Items'!$A$3:$G$23</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3" i="3" l="1"/>
  <c r="F23" i="3"/>
  <c r="E23" i="3"/>
  <c r="D23" i="3"/>
  <c r="C23" i="3"/>
  <c r="G22" i="3"/>
  <c r="F22" i="3"/>
  <c r="E22" i="3"/>
  <c r="D22" i="3"/>
  <c r="C22" i="3"/>
  <c r="G21" i="3"/>
  <c r="F21" i="3"/>
  <c r="E21" i="3"/>
  <c r="D21" i="3"/>
  <c r="C21" i="3"/>
  <c r="G20" i="3"/>
  <c r="F20" i="3"/>
  <c r="E20" i="3"/>
  <c r="D20" i="3"/>
  <c r="C20" i="3"/>
  <c r="G19" i="3"/>
  <c r="F19" i="3"/>
  <c r="E19" i="3"/>
  <c r="D19" i="3"/>
  <c r="C19" i="3"/>
  <c r="G18" i="3"/>
  <c r="F18" i="3"/>
  <c r="E18" i="3"/>
  <c r="D18" i="3"/>
  <c r="C18" i="3"/>
  <c r="G17" i="3"/>
  <c r="F17" i="3"/>
  <c r="E17" i="3"/>
  <c r="D17" i="3"/>
  <c r="C17" i="3"/>
  <c r="G16" i="3"/>
  <c r="F16" i="3"/>
  <c r="E16" i="3"/>
  <c r="D16" i="3"/>
  <c r="C16" i="3"/>
  <c r="G15" i="3"/>
  <c r="F15" i="3"/>
  <c r="E15" i="3"/>
  <c r="D15" i="3"/>
  <c r="C15" i="3"/>
  <c r="G14" i="3"/>
  <c r="F14" i="3"/>
  <c r="E14" i="3"/>
  <c r="D14" i="3"/>
  <c r="C14" i="3"/>
  <c r="G13" i="3"/>
  <c r="F13" i="3"/>
  <c r="E13" i="3"/>
  <c r="D13" i="3"/>
  <c r="C13" i="3"/>
  <c r="G12" i="3"/>
  <c r="F12" i="3"/>
  <c r="E12" i="3"/>
  <c r="D12" i="3"/>
  <c r="C12" i="3"/>
  <c r="G11" i="3"/>
  <c r="F11" i="3"/>
  <c r="E11" i="3"/>
  <c r="D11" i="3"/>
  <c r="C11" i="3"/>
  <c r="G10" i="3"/>
  <c r="F10" i="3"/>
  <c r="E10" i="3"/>
  <c r="D10" i="3"/>
  <c r="C10" i="3"/>
  <c r="G9" i="3"/>
  <c r="F9" i="3"/>
  <c r="E9" i="3"/>
  <c r="D9" i="3"/>
  <c r="C9" i="3"/>
  <c r="G8" i="3"/>
  <c r="F8" i="3"/>
  <c r="E8" i="3"/>
  <c r="D8" i="3"/>
  <c r="C8" i="3"/>
  <c r="G7" i="3"/>
  <c r="F7" i="3"/>
  <c r="E7" i="3"/>
  <c r="D7" i="3"/>
  <c r="C7" i="3"/>
  <c r="G6" i="3"/>
  <c r="F6" i="3"/>
  <c r="E6" i="3"/>
  <c r="D6" i="3"/>
  <c r="C6" i="3"/>
  <c r="G5" i="3"/>
  <c r="F5" i="3"/>
  <c r="E5" i="3"/>
  <c r="D5" i="3"/>
  <c r="C5" i="3"/>
  <c r="G4" i="3"/>
  <c r="F4" i="3"/>
  <c r="E4" i="3"/>
  <c r="D4" i="3"/>
  <c r="C4" i="3"/>
  <c r="B18" i="2"/>
  <c r="B13" i="2"/>
  <c r="B16" i="2" s="1"/>
  <c r="F6" i="2"/>
  <c r="F5" i="2"/>
  <c r="F4" i="2"/>
  <c r="F3" i="2"/>
  <c r="B18" i="1"/>
  <c r="B17" i="1"/>
  <c r="B16" i="1"/>
  <c r="B9" i="1"/>
  <c r="B20" i="1" l="1"/>
  <c r="F7" i="2"/>
  <c r="B15" i="2"/>
  <c r="B17" i="2" l="1"/>
  <c r="B15" i="1"/>
  <c r="B12" i="1"/>
  <c r="B22" i="2"/>
  <c r="B21" i="2"/>
  <c r="B19" i="1"/>
  <c r="B24" i="2" l="1"/>
  <c r="B25" i="2" s="1"/>
  <c r="B11" i="1" s="1"/>
  <c r="B23" i="2"/>
  <c r="B10" i="1" s="1"/>
  <c r="B13" i="1"/>
  <c r="B26" i="2"/>
  <c r="B14" i="1"/>
</calcChain>
</file>

<file path=xl/sharedStrings.xml><?xml version="1.0" encoding="utf-8"?>
<sst xmlns="http://schemas.openxmlformats.org/spreadsheetml/2006/main" count="103" uniqueCount="100">
  <si>
    <t>CAN I BUY IT?</t>
  </si>
  <si>
    <t>Item name</t>
  </si>
  <si>
    <t>Example: skincare / snack / tech</t>
  </si>
  <si>
    <t>Category</t>
  </si>
  <si>
    <t>Tech</t>
  </si>
  <si>
    <t>Full price</t>
  </si>
  <si>
    <t>Priority</t>
  </si>
  <si>
    <t>Optional</t>
  </si>
  <si>
    <t>RESULT</t>
  </si>
  <si>
    <t>Decision</t>
  </si>
  <si>
    <t>Current safe-zone status</t>
  </si>
  <si>
    <t>Estimated date you enter safe zone</t>
  </si>
  <si>
    <t>Required minimum safe balance</t>
  </si>
  <si>
    <t>Money needed to enter safe zone</t>
  </si>
  <si>
    <t>Safe maximum purchase now</t>
  </si>
  <si>
    <t>Total money still needed (buffer + item)</t>
  </si>
  <si>
    <t>Months of saving needed</t>
  </si>
  <si>
    <t>Estimated safe purchase date</t>
  </si>
  <si>
    <t>Balance if bought today</t>
  </si>
  <si>
    <t>Buffer remaining after buying today</t>
  </si>
  <si>
    <t>Price as % of monthly surplus</t>
  </si>
  <si>
    <t>Rule used</t>
  </si>
  <si>
    <t>Cash-only. A purchase is safe now only when your customized safety buffer remains intact.</t>
  </si>
  <si>
    <t>MY MONTHLY MONEY SETUP</t>
  </si>
  <si>
    <t>Monthly Allocation</t>
  </si>
  <si>
    <t>As-of date</t>
  </si>
  <si>
    <t>Update this whenever you use the workbook.</t>
  </si>
  <si>
    <t>Loan</t>
  </si>
  <si>
    <t>Current bank/cash balance</t>
  </si>
  <si>
    <t>Money available right now.</t>
  </si>
  <si>
    <t>Investment</t>
  </si>
  <si>
    <t>Monthly take-home income</t>
  </si>
  <si>
    <t>Salary received on the first of each month.</t>
  </si>
  <si>
    <t>Petrol</t>
  </si>
  <si>
    <t>Salary day of month</t>
  </si>
  <si>
    <t>Use a number from 1 to 28.</t>
  </si>
  <si>
    <t>Other essentials</t>
  </si>
  <si>
    <t>Surplus</t>
  </si>
  <si>
    <t>Loan payment</t>
  </si>
  <si>
    <t>Required monthly payment.</t>
  </si>
  <si>
    <t>Monthly investment</t>
  </si>
  <si>
    <t>Marked untouchable by you.</t>
  </si>
  <si>
    <t>Petrol / transport</t>
  </si>
  <si>
    <t>Your estimated normal monthly requirement.</t>
  </si>
  <si>
    <t>Other essential expenses</t>
  </si>
  <si>
    <t>Add any essential cost not paid by family.</t>
  </si>
  <si>
    <t>Upcoming unavoidable cost</t>
  </si>
  <si>
    <t>One-time amount due before next salary.</t>
  </si>
  <si>
    <t>Total monthly commitments</t>
  </si>
  <si>
    <t>Loan + investment + petrol + other essentials.</t>
  </si>
  <si>
    <t>Safety buffer (months) — EDIT THIS</t>
  </si>
  <si>
    <t>Customizable: 1 means one month, 0.5 means half a month, 2 means two months.</t>
  </si>
  <si>
    <t>Required safety buffer</t>
  </si>
  <si>
    <t>Minimum balance the calculator protects.</t>
  </si>
  <si>
    <t>Monthly surplus</t>
  </si>
  <si>
    <t>Income left after normal commitments.</t>
  </si>
  <si>
    <t>Safe spending money now</t>
  </si>
  <si>
    <t>Current balance minus buffer and upcoming unavoidable cost.</t>
  </si>
  <si>
    <t>Next salary date</t>
  </si>
  <si>
    <t>Used to estimate when a purchase becomes affordable.</t>
  </si>
  <si>
    <t>YOUR SAFE-ZONE TARGET</t>
  </si>
  <si>
    <t>Minimum balance for safe zone</t>
  </si>
  <si>
    <t>Changes automatically when you edit the buffer months in B14.</t>
  </si>
  <si>
    <t>How much more cash you need before optional spending is considered safe.</t>
  </si>
  <si>
    <t>Based on your current balance, buffer target, and unavoidable upcoming costs.</t>
  </si>
  <si>
    <t>Months until safe zone</t>
  </si>
  <si>
    <t>Number of monthly surpluses needed to reach the buffer target.</t>
  </si>
  <si>
    <t>Estimated safe-zone date</t>
  </si>
  <si>
    <t>First salary date when your projected balance reaches the safety buffer.</t>
  </si>
  <si>
    <t>Amount available for an optional purchase without breaking the buffer.</t>
  </si>
  <si>
    <t>COMPARE ITEMS</t>
  </si>
  <si>
    <t>Type only the item and price in the yellow cells. The sheet includes your safety-buffer shortage before calculating the purchase date.</t>
  </si>
  <si>
    <t>Item</t>
  </si>
  <si>
    <t>Price</t>
  </si>
  <si>
    <t>Total Cash Needed</t>
  </si>
  <si>
    <t>Money Still Needed</t>
  </si>
  <si>
    <t>Wait (Months)</t>
  </si>
  <si>
    <t>Earliest Safe Date</t>
  </si>
  <si>
    <t>Result</t>
  </si>
  <si>
    <t>HOW TO USE THIS WORKBOOK</t>
  </si>
  <si>
    <t>1</t>
  </si>
  <si>
    <t>Update your budget</t>
  </si>
  <si>
    <t>Open “My Budget” and update the yellow cells, especially your current balance and any unavoidable upcoming cost.</t>
  </si>
  <si>
    <t>2</t>
  </si>
  <si>
    <t>Check one item</t>
  </si>
  <si>
    <t>Open “Quick Check”, enter the item name and full price. It shows both the date you reach the safe zone and the later date when the item becomes safe to buy.</t>
  </si>
  <si>
    <t>3</t>
  </si>
  <si>
    <t>Compare several items</t>
  </si>
  <si>
    <t>Use “Compare Items”. Enter only an item name and price in yellow cells; every other column is calculated automatically.</t>
  </si>
  <si>
    <t>4</t>
  </si>
  <si>
    <t>Meaning of safe</t>
  </si>
  <si>
    <t>Safe means cash-only and keeping your chosen buffer untouched. The current default is 6 months; edit the yellow “Safety buffer (months)” cell B14 in “My Budget” whenever you want.</t>
  </si>
  <si>
    <t>5</t>
  </si>
  <si>
    <t>Your present baseline</t>
  </si>
  <si>
    <t>Income ₹8,000; commitments ₹3,400 (loan ₹1,000 + investment ₹400 + petrol ₹2,000); estimated monthly surplus ₹4,600. With a 6-month buffer, the safe-zone minimum is ₹20,400.</t>
  </si>
  <si>
    <t>6</t>
  </si>
  <si>
    <t>Important assumption</t>
  </si>
  <si>
    <t>The date estimate assumes income and expenses stay stable. Update the sheet if your balance, petrol use, loan, or salary changes.</t>
  </si>
  <si>
    <t>Financial note</t>
  </si>
  <si>
    <t>This is a planning tool, not professional financial advice. It deliberately uses a conservative safety-buffer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</si>
</sst>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d\-mmm\-yyyy"/>
    <numFmt numFmtId="166" formatCode="\₹#,##0.00"/>
    <numFmt numFmtId="167" formatCode="0.0"/>
  </numFmts>
  <fonts count="10" x14ac:knownFonts="1">
    <font>
      <sz val="11"/>
      <color theme="1"/>
      <name val="Calibri"/>
      <family val="2"/>
      <scheme val="minor"/>
    </font>
    <font>
      <b/>
      <sz val="18"/>
      <color rgb="FFFFFFFF"/>
      <name val="Calibri"/>
    </font>
    <font>
      <b/>
      <sz val="11"/>
      <name val="Calibri"/>
    </font>
    <font>
      <b/>
      <sz val="14"/>
      <color rgb="FFFFFFFF"/>
      <name val="Calibri"/>
    </font>
    <font>
      <b/>
      <sz val="14"/>
      <name val="Calibri"/>
    </font>
    <font>
      <b/>
      <sz val="22"/>
      <color rgb="FFFFFFFF"/>
      <name val="Calibri"/>
    </font>
    <font>
      <b/>
      <sz val="15"/>
      <color rgb="FFFFFFFF"/>
      <name val="Calibri"/>
    </font>
    <font>
      <b/>
      <sz val="15"/>
      <name val="Calibri"/>
    </font>
    <font>
      <b/>
      <sz val="11"/>
      <color rgb="FFFFFFFF"/>
      <name val="Calibri"/>
    </font>
    <font>
      <b/>
      <sz val="11"/>
      <color rgb="FFC00000"/>
      <name val="Calibri"/>
    </font>
  </fonts>
  <fills count="7">
    <fill>
      <patternFill patternType="none"/>
    </fill>
    <fill>
      <patternFill patternType="gray125"/>
    </fill>
    <fill>
      <patternFill patternType="solid">
        <fgColor rgb="FF17324D"/>
      </patternFill>
    </fill>
    <fill>
      <patternFill patternType="solid">
        <fgColor rgb="FFFFF2CC"/>
      </patternFill>
    </fill>
    <fill>
      <patternFill patternType="solid">
        <fgColor rgb="FFD9EAF7"/>
      </patternFill>
    </fill>
    <fill>
      <patternFill patternType="solid">
        <fgColor rgb="FF2E75B6"/>
      </patternFill>
    </fill>
    <fill>
      <patternFill patternType="solid">
        <fgColor rgb="FFF4CC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0">
    <xf numFmtId="0" fontId="0" fillId="0" borderId="0" xfId="0"/>
    <xf numFmtId="0" fontId="2" fillId="0" borderId="1" xfId="0" applyFont="1" applyBorder="1" applyAlignment="1">
      <alignment vertical="center" wrapText="1"/>
    </xf>
    <xf numFmtId="0" fontId="0" fillId="3" borderId="1" xfId="0" applyFill="1" applyBorder="1" applyAlignment="1">
      <alignment vertical="center" wrapText="1"/>
    </xf>
    <xf numFmtId="166" fontId="0" fillId="3" borderId="1" xfId="0" applyNumberFormat="1" applyFill="1" applyBorder="1" applyAlignment="1">
      <alignment vertical="center" wrapText="1"/>
    </xf>
    <xf numFmtId="0" fontId="7" fillId="0" borderId="1" xfId="0" applyFont="1" applyBorder="1" applyAlignment="1">
      <alignment vertical="center" wrapText="1"/>
    </xf>
    <xf numFmtId="0" fontId="0" fillId="0" borderId="1" xfId="0" applyBorder="1" applyAlignment="1">
      <alignment vertical="center" wrapText="1"/>
    </xf>
    <xf numFmtId="165" fontId="0" fillId="0" borderId="1" xfId="0" applyNumberFormat="1" applyBorder="1" applyAlignment="1">
      <alignment vertical="center" wrapText="1"/>
    </xf>
    <xf numFmtId="166" fontId="0" fillId="0" borderId="1" xfId="0" applyNumberFormat="1" applyBorder="1" applyAlignment="1">
      <alignment vertical="center" wrapText="1"/>
    </xf>
    <xf numFmtId="9" fontId="0" fillId="0" borderId="1" xfId="0" applyNumberFormat="1" applyBorder="1" applyAlignment="1">
      <alignment vertical="center" wrapText="1"/>
    </xf>
    <xf numFmtId="0" fontId="2" fillId="0" borderId="1" xfId="0" applyFont="1" applyBorder="1"/>
    <xf numFmtId="165" fontId="0" fillId="3" borderId="1" xfId="0" applyNumberFormat="1" applyFill="1" applyBorder="1" applyAlignment="1">
      <alignment vertical="center" wrapText="1"/>
    </xf>
    <xf numFmtId="166" fontId="2" fillId="4" borderId="1" xfId="0" applyNumberFormat="1" applyFont="1" applyFill="1" applyBorder="1" applyAlignment="1">
      <alignment vertical="center" wrapText="1"/>
    </xf>
    <xf numFmtId="167" fontId="0" fillId="3" borderId="1" xfId="0" applyNumberFormat="1" applyFill="1" applyBorder="1" applyAlignment="1">
      <alignment vertical="center" wrapText="1"/>
    </xf>
    <xf numFmtId="165" fontId="2" fillId="4" borderId="1" xfId="0" applyNumberFormat="1" applyFont="1" applyFill="1" applyBorder="1" applyAlignment="1">
      <alignment vertical="center" wrapText="1"/>
    </xf>
    <xf numFmtId="166" fontId="4" fillId="0" borderId="1" xfId="0" applyNumberFormat="1" applyFont="1" applyBorder="1" applyAlignment="1">
      <alignment vertical="center" wrapText="1"/>
    </xf>
    <xf numFmtId="0" fontId="4" fillId="6" borderId="1" xfId="0" applyFont="1" applyFill="1" applyBorder="1" applyAlignment="1">
      <alignment vertical="center" wrapText="1"/>
    </xf>
    <xf numFmtId="0" fontId="4" fillId="0" borderId="1" xfId="0" applyFont="1" applyBorder="1" applyAlignment="1">
      <alignment vertical="center" wrapText="1"/>
    </xf>
    <xf numFmtId="165" fontId="4" fillId="0" borderId="1" xfId="0" applyNumberFormat="1" applyFont="1" applyBorder="1" applyAlignment="1">
      <alignment vertical="center" wrapText="1"/>
    </xf>
    <xf numFmtId="0" fontId="8" fillId="5" borderId="1" xfId="0" applyFont="1" applyFill="1" applyBorder="1" applyAlignment="1">
      <alignment horizontal="center" wrapText="1"/>
    </xf>
    <xf numFmtId="0" fontId="3" fillId="5" borderId="1" xfId="0" applyFont="1" applyFill="1" applyBorder="1" applyAlignment="1">
      <alignment vertical="center" wrapText="1"/>
    </xf>
    <xf numFmtId="0" fontId="9" fillId="0" borderId="0" xfId="0" applyFont="1"/>
    <xf numFmtId="0" fontId="0" fillId="0" borderId="0" xfId="0" applyAlignment="1">
      <alignment wrapText="1"/>
    </xf>
    <xf numFmtId="0" fontId="5" fillId="2" borderId="0" xfId="0" applyFont="1" applyFill="1" applyAlignment="1">
      <alignment horizontal="center"/>
    </xf>
    <xf numFmtId="0" fontId="0" fillId="0" borderId="0" xfId="0"/>
    <xf numFmtId="0" fontId="0" fillId="0" borderId="1" xfId="0" applyBorder="1" applyAlignment="1">
      <alignment wrapText="1"/>
    </xf>
    <xf numFmtId="0" fontId="0" fillId="0" borderId="1" xfId="0" applyBorder="1"/>
    <xf numFmtId="0" fontId="6" fillId="5" borderId="0" xfId="0" applyFont="1" applyFill="1" applyAlignment="1">
      <alignment horizontal="center"/>
    </xf>
    <xf numFmtId="0" fontId="1" fillId="2" borderId="0" xfId="0" applyFont="1" applyFill="1" applyAlignment="1">
      <alignment horizontal="center"/>
    </xf>
    <xf numFmtId="0" fontId="3" fillId="5" borderId="0" xfId="0" applyFont="1" applyFill="1"/>
    <xf numFmtId="0" fontId="2" fillId="4" borderId="0" xfId="0" applyFont="1" applyFill="1" applyAlignment="1">
      <alignment horizontal="center" wrapText="1"/>
    </xf>
  </cellXfs>
  <cellStyles count="1">
    <cellStyle name="Normal" xfId="0" builtinId="0"/>
  </cellStyles>
  <dxfs count="9">
    <dxf>
      <fill>
        <patternFill patternType="solid">
          <fgColor rgb="FFF4CCCC"/>
        </patternFill>
      </fill>
    </dxf>
    <dxf>
      <fill>
        <patternFill patternType="solid">
          <fgColor rgb="FFFFF2CC"/>
        </patternFill>
      </fill>
    </dxf>
    <dxf>
      <fill>
        <patternFill patternType="solid">
          <fgColor rgb="FFE2F0D9"/>
        </patternFill>
      </fill>
    </dxf>
    <dxf>
      <font>
        <b/>
        <color rgb="FF006100"/>
      </font>
      <fill>
        <patternFill patternType="solid">
          <fgColor rgb="FFE2F0D9"/>
        </patternFill>
      </fill>
    </dxf>
    <dxf>
      <font>
        <b/>
        <color rgb="FFC00000"/>
      </font>
      <fill>
        <patternFill patternType="solid">
          <fgColor rgb="FFF4CCCC"/>
        </patternFill>
      </fill>
    </dxf>
    <dxf>
      <font>
        <b/>
        <color rgb="FF006100"/>
      </font>
      <fill>
        <patternFill patternType="solid">
          <fgColor rgb="FFE2F0D9"/>
        </patternFill>
      </fill>
    </dxf>
    <dxf>
      <font>
        <b/>
        <color rgb="FFC00000"/>
      </font>
      <fill>
        <patternFill patternType="solid">
          <fgColor rgb="FFF4CCCC"/>
        </patternFill>
      </fill>
    </dxf>
    <dxf>
      <font>
        <b/>
        <color rgb="FF9C6500"/>
      </font>
      <fill>
        <patternFill patternType="solid">
          <fgColor rgb="FFFFF2CC"/>
        </patternFill>
      </fill>
    </dxf>
    <dxf>
      <font>
        <b/>
        <color rgb="FF006100"/>
      </font>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₹8,000 Monthly Income Plan</a:t>
            </a:r>
          </a:p>
        </c:rich>
      </c:tx>
      <c:overlay val="1"/>
    </c:title>
    <c:autoTitleDeleted val="0"/>
    <c:plotArea>
      <c:layout/>
      <c:doughnutChart>
        <c:varyColors val="1"/>
        <c:ser>
          <c:idx val="0"/>
          <c:order val="0"/>
          <c:tx>
            <c:strRef>
              <c:f>'My Budget'!$F$2</c:f>
              <c:strCache>
                <c:ptCount val="1"/>
              </c:strCache>
            </c:strRef>
          </c:tx>
          <c:spPr>
            <a:ln>
              <a:prstDash val="solid"/>
            </a:ln>
          </c:spPr>
          <c:cat>
            <c:strRef>
              <c:f>'My Budget'!$E$3:$E$7</c:f>
              <c:strCache>
                <c:ptCount val="5"/>
                <c:pt idx="0">
                  <c:v>Loan</c:v>
                </c:pt>
                <c:pt idx="1">
                  <c:v>Investment</c:v>
                </c:pt>
                <c:pt idx="2">
                  <c:v>Petrol</c:v>
                </c:pt>
                <c:pt idx="3">
                  <c:v>Other essentials</c:v>
                </c:pt>
                <c:pt idx="4">
                  <c:v>Surplus</c:v>
                </c:pt>
              </c:strCache>
            </c:strRef>
          </c:cat>
          <c:val>
            <c:numRef>
              <c:f>'My Budget'!$F$3:$F$7</c:f>
              <c:numCache>
                <c:formatCode>General</c:formatCode>
                <c:ptCount val="5"/>
                <c:pt idx="0">
                  <c:v>0</c:v>
                </c:pt>
                <c:pt idx="1">
                  <c:v>0</c:v>
                </c:pt>
                <c:pt idx="2">
                  <c:v>0</c:v>
                </c:pt>
                <c:pt idx="3">
                  <c:v>0</c:v>
                </c:pt>
                <c:pt idx="4">
                  <c:v>8000</c:v>
                </c:pt>
              </c:numCache>
            </c:numRef>
          </c:val>
          <c:extLst>
            <c:ext xmlns:c16="http://schemas.microsoft.com/office/drawing/2014/chart" uri="{C3380CC4-5D6E-409C-BE32-E72D297353CC}">
              <c16:uniqueId val="{00000000-6595-4FF7-98E2-AB43A75214F6}"/>
            </c:ext>
          </c:extLst>
        </c:ser>
        <c:dLbls>
          <c:showLegendKey val="0"/>
          <c:showVal val="0"/>
          <c:showCatName val="0"/>
          <c:showSerName val="0"/>
          <c:showPercent val="0"/>
          <c:showBubbleSize val="0"/>
          <c:showLeaderLines val="1"/>
        </c:dLbls>
        <c:firstSliceAng val="0"/>
        <c:holeSize val="10"/>
      </c:doughnut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8</xdr:row>
      <xdr:rowOff>0</xdr:rowOff>
    </xdr:from>
    <xdr:ext cx="396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2"/>
  <sheetViews>
    <sheetView showGridLines="0" zoomScale="90" workbookViewId="0">
      <selection sqref="A1:C1"/>
    </sheetView>
  </sheetViews>
  <sheetFormatPr defaultRowHeight="14.4" x14ac:dyDescent="0.3"/>
  <cols>
    <col min="1" max="1" width="34" customWidth="1"/>
    <col min="2" max="2" width="26" customWidth="1"/>
    <col min="3" max="3" width="52" customWidth="1"/>
  </cols>
  <sheetData>
    <row r="1" spans="1:3" ht="28.8" x14ac:dyDescent="0.55000000000000004">
      <c r="A1" s="22" t="s">
        <v>0</v>
      </c>
      <c r="B1" s="23"/>
      <c r="C1" s="23"/>
    </row>
    <row r="3" spans="1:3" ht="28.8" x14ac:dyDescent="0.3">
      <c r="A3" s="1" t="s">
        <v>1</v>
      </c>
      <c r="B3" s="2" t="s">
        <v>2</v>
      </c>
    </row>
    <row r="4" spans="1:3" x14ac:dyDescent="0.3">
      <c r="A4" s="1" t="s">
        <v>3</v>
      </c>
      <c r="B4" s="2" t="s">
        <v>4</v>
      </c>
    </row>
    <row r="5" spans="1:3" x14ac:dyDescent="0.3">
      <c r="A5" s="1" t="s">
        <v>5</v>
      </c>
      <c r="B5" s="3">
        <v>0</v>
      </c>
    </row>
    <row r="6" spans="1:3" x14ac:dyDescent="0.3">
      <c r="A6" s="1" t="s">
        <v>6</v>
      </c>
      <c r="B6" s="2" t="s">
        <v>7</v>
      </c>
    </row>
    <row r="8" spans="1:3" ht="19.8" x14ac:dyDescent="0.4">
      <c r="A8" s="26" t="s">
        <v>8</v>
      </c>
      <c r="B8" s="23"/>
      <c r="C8" s="23"/>
    </row>
    <row r="9" spans="1:3" ht="19.8" x14ac:dyDescent="0.3">
      <c r="A9" s="1" t="s">
        <v>9</v>
      </c>
      <c r="B9" s="4" t="str">
        <f>IF(B5&lt;=0,"ENTER A PRICE",IF(B5&lt;='My Budget'!B17,"BUY NOW",IF('My Budget'!B16&lt;=0,"NOT AFFORDABLE WITH CURRENT BUDGET","WAIT UNTIL "&amp;TEXT(B17,"dd-mmm-yyyy"))))</f>
        <v>ENTER A PRICE</v>
      </c>
    </row>
    <row r="10" spans="1:3" x14ac:dyDescent="0.3">
      <c r="A10" s="1" t="s">
        <v>10</v>
      </c>
      <c r="B10" s="5" t="str">
        <f>'My Budget'!B23</f>
        <v>IN SAFE ZONE</v>
      </c>
    </row>
    <row r="11" spans="1:3" x14ac:dyDescent="0.3">
      <c r="A11" s="1" t="s">
        <v>11</v>
      </c>
      <c r="B11" s="6">
        <f>'My Budget'!B25</f>
        <v>46302</v>
      </c>
    </row>
    <row r="12" spans="1:3" x14ac:dyDescent="0.3">
      <c r="A12" s="1" t="s">
        <v>12</v>
      </c>
      <c r="B12" s="7">
        <f>'My Budget'!B15</f>
        <v>0</v>
      </c>
    </row>
    <row r="13" spans="1:3" x14ac:dyDescent="0.3">
      <c r="A13" s="1" t="s">
        <v>13</v>
      </c>
      <c r="B13" s="7">
        <f>'My Budget'!B22</f>
        <v>0</v>
      </c>
    </row>
    <row r="14" spans="1:3" x14ac:dyDescent="0.3">
      <c r="A14" s="1" t="s">
        <v>14</v>
      </c>
      <c r="B14" s="7">
        <f>'My Budget'!B17</f>
        <v>0</v>
      </c>
    </row>
    <row r="15" spans="1:3" ht="28.8" x14ac:dyDescent="0.3">
      <c r="A15" s="1" t="s">
        <v>15</v>
      </c>
      <c r="B15" s="7">
        <f>MAX(0,'My Budget'!B15+'My Budget'!B12+B5-'My Budget'!B4)</f>
        <v>0</v>
      </c>
    </row>
    <row r="16" spans="1:3" x14ac:dyDescent="0.3">
      <c r="A16" s="1" t="s">
        <v>16</v>
      </c>
      <c r="B16" s="5" t="str">
        <f>IF(B5&lt;=0,"",IF(B5&lt;=B14,0,IF('My Budget'!B16&lt;=0,"N/A",ROUNDUP(B15/'My Budget'!B16,0))))</f>
        <v/>
      </c>
    </row>
    <row r="17" spans="1:3" x14ac:dyDescent="0.3">
      <c r="A17" s="1" t="s">
        <v>17</v>
      </c>
      <c r="B17" s="6" t="str">
        <f>IF(B5&lt;=0,"",IF(B5&lt;=B14,'My Budget'!B3,IF('My Budget'!B16&lt;=0,"",EDATE('My Budget'!B18,B16-1))))</f>
        <v/>
      </c>
    </row>
    <row r="18" spans="1:3" x14ac:dyDescent="0.3">
      <c r="A18" s="1" t="s">
        <v>18</v>
      </c>
      <c r="B18" s="7">
        <f>'My Budget'!B4-B5</f>
        <v>0</v>
      </c>
    </row>
    <row r="19" spans="1:3" x14ac:dyDescent="0.3">
      <c r="A19" s="1" t="s">
        <v>19</v>
      </c>
      <c r="B19" s="7">
        <f>B18-'My Budget'!B15-'My Budget'!B12</f>
        <v>0</v>
      </c>
    </row>
    <row r="20" spans="1:3" x14ac:dyDescent="0.3">
      <c r="A20" s="1" t="s">
        <v>20</v>
      </c>
      <c r="B20" s="8">
        <f>IF('My Budget'!B16&lt;=0,"",B5/'My Budget'!B16)</f>
        <v>0</v>
      </c>
    </row>
    <row r="22" spans="1:3" x14ac:dyDescent="0.3">
      <c r="A22" s="9" t="s">
        <v>21</v>
      </c>
      <c r="B22" s="24" t="s">
        <v>22</v>
      </c>
      <c r="C22" s="25"/>
    </row>
  </sheetData>
  <mergeCells count="3">
    <mergeCell ref="A1:C1"/>
    <mergeCell ref="B22:C22"/>
    <mergeCell ref="A8:C8"/>
  </mergeCells>
  <conditionalFormatting sqref="B9">
    <cfRule type="expression" dxfId="8" priority="1">
      <formula>LEFT(B9,7)="BUY NOW"</formula>
    </cfRule>
    <cfRule type="expression" dxfId="7" priority="2">
      <formula>LEFT(B9,4)="WAIT"</formula>
    </cfRule>
    <cfRule type="expression" dxfId="6" priority="3">
      <formula>OR(LEFT(B9,3)="NOT",LEFT(B9,5)="ENTER")</formula>
    </cfRule>
  </conditionalFormatting>
  <conditionalFormatting sqref="B10">
    <cfRule type="expression" dxfId="5" priority="4">
      <formula>LEFT(B10,2)="IN"</formula>
    </cfRule>
    <cfRule type="expression" dxfId="4" priority="5">
      <formula>LEFT(B10,4)="NEED"</formula>
    </cfRule>
  </conditionalFormatting>
  <dataValidations count="2">
    <dataValidation type="list" sqref="B4" xr:uid="{00000000-0002-0000-0000-000000000000}">
      <formula1>"Snack,Skincare,Tech,Clothing,Education,Travel,Other"</formula1>
    </dataValidation>
    <dataValidation type="list" sqref="B6" xr:uid="{00000000-0002-0000-0000-000001000000}">
      <formula1>"Optional,Important,Essential"</formula1>
    </dataValidation>
  </dataValidations>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6"/>
  <sheetViews>
    <sheetView showGridLines="0" tabSelected="1" zoomScale="90" workbookViewId="0">
      <pane ySplit="2" topLeftCell="A12" activePane="bottomLeft" state="frozen"/>
      <selection pane="bottomLeft" activeCell="B15" sqref="B15"/>
    </sheetView>
  </sheetViews>
  <sheetFormatPr defaultRowHeight="14.4" x14ac:dyDescent="0.3"/>
  <cols>
    <col min="1" max="1" width="35" customWidth="1"/>
    <col min="2" max="2" width="20" customWidth="1"/>
    <col min="3" max="3" width="52" customWidth="1"/>
  </cols>
  <sheetData>
    <row r="1" spans="1:6" ht="23.4" x14ac:dyDescent="0.45">
      <c r="A1" s="27" t="s">
        <v>23</v>
      </c>
      <c r="B1" s="23"/>
      <c r="C1" s="23"/>
    </row>
    <row r="2" spans="1:6" x14ac:dyDescent="0.3">
      <c r="E2" t="s">
        <v>24</v>
      </c>
    </row>
    <row r="3" spans="1:6" x14ac:dyDescent="0.3">
      <c r="A3" s="1" t="s">
        <v>25</v>
      </c>
      <c r="B3" s="10">
        <v>46302</v>
      </c>
      <c r="C3" s="5" t="s">
        <v>26</v>
      </c>
      <c r="E3" t="s">
        <v>27</v>
      </c>
      <c r="F3">
        <f>B8</f>
        <v>0</v>
      </c>
    </row>
    <row r="4" spans="1:6" x14ac:dyDescent="0.3">
      <c r="A4" s="1" t="s">
        <v>28</v>
      </c>
      <c r="B4" s="3">
        <v>0</v>
      </c>
      <c r="C4" s="5" t="s">
        <v>29</v>
      </c>
      <c r="E4" t="s">
        <v>30</v>
      </c>
      <c r="F4">
        <f>B9</f>
        <v>0</v>
      </c>
    </row>
    <row r="5" spans="1:6" x14ac:dyDescent="0.3">
      <c r="A5" s="1" t="s">
        <v>31</v>
      </c>
      <c r="B5" s="3">
        <v>8000</v>
      </c>
      <c r="C5" s="5" t="s">
        <v>32</v>
      </c>
      <c r="E5" t="s">
        <v>33</v>
      </c>
      <c r="F5">
        <f>B10</f>
        <v>0</v>
      </c>
    </row>
    <row r="6" spans="1:6" x14ac:dyDescent="0.3">
      <c r="A6" s="1" t="s">
        <v>34</v>
      </c>
      <c r="B6" s="2">
        <v>1</v>
      </c>
      <c r="C6" s="5" t="s">
        <v>35</v>
      </c>
      <c r="E6" t="s">
        <v>36</v>
      </c>
      <c r="F6">
        <f>B11</f>
        <v>0</v>
      </c>
    </row>
    <row r="7" spans="1:6" x14ac:dyDescent="0.3">
      <c r="A7" s="5"/>
      <c r="B7" s="5"/>
      <c r="C7" s="5"/>
      <c r="E7" t="s">
        <v>37</v>
      </c>
      <c r="F7">
        <f>MAX(0,B16)</f>
        <v>8000</v>
      </c>
    </row>
    <row r="8" spans="1:6" x14ac:dyDescent="0.3">
      <c r="A8" s="1" t="s">
        <v>38</v>
      </c>
      <c r="B8" s="3">
        <v>0</v>
      </c>
      <c r="C8" s="5" t="s">
        <v>39</v>
      </c>
    </row>
    <row r="9" spans="1:6" x14ac:dyDescent="0.3">
      <c r="A9" s="1" t="s">
        <v>40</v>
      </c>
      <c r="B9" s="3">
        <v>0</v>
      </c>
      <c r="C9" s="5" t="s">
        <v>41</v>
      </c>
    </row>
    <row r="10" spans="1:6" x14ac:dyDescent="0.3">
      <c r="A10" s="1" t="s">
        <v>42</v>
      </c>
      <c r="B10" s="3">
        <v>0</v>
      </c>
      <c r="C10" s="5" t="s">
        <v>43</v>
      </c>
    </row>
    <row r="11" spans="1:6" x14ac:dyDescent="0.3">
      <c r="A11" s="1" t="s">
        <v>44</v>
      </c>
      <c r="B11" s="3">
        <v>0</v>
      </c>
      <c r="C11" s="5" t="s">
        <v>45</v>
      </c>
    </row>
    <row r="12" spans="1:6" x14ac:dyDescent="0.3">
      <c r="A12" s="1" t="s">
        <v>46</v>
      </c>
      <c r="B12" s="3">
        <v>0</v>
      </c>
      <c r="C12" s="5" t="s">
        <v>47</v>
      </c>
    </row>
    <row r="13" spans="1:6" x14ac:dyDescent="0.3">
      <c r="A13" s="1" t="s">
        <v>48</v>
      </c>
      <c r="B13" s="11">
        <f>SUM(B8:B11)</f>
        <v>0</v>
      </c>
      <c r="C13" s="5" t="s">
        <v>49</v>
      </c>
    </row>
    <row r="14" spans="1:6" ht="28.8" x14ac:dyDescent="0.3">
      <c r="A14" s="1" t="s">
        <v>50</v>
      </c>
      <c r="B14" s="12">
        <v>0</v>
      </c>
      <c r="C14" s="5" t="s">
        <v>51</v>
      </c>
    </row>
    <row r="15" spans="1:6" x14ac:dyDescent="0.3">
      <c r="A15" s="1" t="s">
        <v>52</v>
      </c>
      <c r="B15" s="11">
        <f>B13*B14</f>
        <v>0</v>
      </c>
      <c r="C15" s="5" t="s">
        <v>53</v>
      </c>
    </row>
    <row r="16" spans="1:6" x14ac:dyDescent="0.3">
      <c r="A16" s="1" t="s">
        <v>54</v>
      </c>
      <c r="B16" s="11">
        <f>B5-B13</f>
        <v>8000</v>
      </c>
      <c r="C16" s="5" t="s">
        <v>55</v>
      </c>
    </row>
    <row r="17" spans="1:3" ht="28.8" x14ac:dyDescent="0.3">
      <c r="A17" s="1" t="s">
        <v>56</v>
      </c>
      <c r="B17" s="11">
        <f>MAX(0,B4-B15-B12)</f>
        <v>0</v>
      </c>
      <c r="C17" s="5" t="s">
        <v>57</v>
      </c>
    </row>
    <row r="18" spans="1:3" x14ac:dyDescent="0.3">
      <c r="A18" s="1" t="s">
        <v>58</v>
      </c>
      <c r="B18" s="13">
        <f>IF(DAY(B3)&lt;B6,DATE(YEAR(B3),MONTH(B3),MIN(B6,28)),EDATE(DATE(YEAR(B3),MONTH(B3),MIN(B6,28)),1))</f>
        <v>46327</v>
      </c>
      <c r="C18" s="5" t="s">
        <v>59</v>
      </c>
    </row>
    <row r="20" spans="1:3" ht="18" x14ac:dyDescent="0.35">
      <c r="A20" s="28" t="s">
        <v>60</v>
      </c>
      <c r="B20" s="23"/>
      <c r="C20" s="23"/>
    </row>
    <row r="21" spans="1:3" ht="28.8" x14ac:dyDescent="0.3">
      <c r="A21" s="1" t="s">
        <v>61</v>
      </c>
      <c r="B21" s="14">
        <f>B15</f>
        <v>0</v>
      </c>
      <c r="C21" s="5" t="s">
        <v>62</v>
      </c>
    </row>
    <row r="22" spans="1:3" ht="28.8" x14ac:dyDescent="0.3">
      <c r="A22" s="1" t="s">
        <v>13</v>
      </c>
      <c r="B22" s="14">
        <f>MAX(0,B15+B12-B4)</f>
        <v>0</v>
      </c>
      <c r="C22" s="5" t="s">
        <v>63</v>
      </c>
    </row>
    <row r="23" spans="1:3" ht="28.8" x14ac:dyDescent="0.3">
      <c r="A23" s="1" t="s">
        <v>10</v>
      </c>
      <c r="B23" s="15" t="str">
        <f>IF(B22=0,"IN SAFE ZONE","NEED ₹"&amp;TEXT(B22,"#,##0.00")&amp;" MORE")</f>
        <v>IN SAFE ZONE</v>
      </c>
      <c r="C23" s="5" t="s">
        <v>64</v>
      </c>
    </row>
    <row r="24" spans="1:3" ht="28.8" x14ac:dyDescent="0.3">
      <c r="A24" s="1" t="s">
        <v>65</v>
      </c>
      <c r="B24" s="16">
        <f>IF(B22=0,0,IF(B16&lt;=0,"N/A",ROUNDUP(B22/B16,0)))</f>
        <v>0</v>
      </c>
      <c r="C24" s="5" t="s">
        <v>66</v>
      </c>
    </row>
    <row r="25" spans="1:3" ht="28.8" x14ac:dyDescent="0.3">
      <c r="A25" s="1" t="s">
        <v>67</v>
      </c>
      <c r="B25" s="17">
        <f>IF(B22=0,B3,IF(B16&lt;=0,"",EDATE(B18,B24-1)))</f>
        <v>46302</v>
      </c>
      <c r="C25" s="5" t="s">
        <v>68</v>
      </c>
    </row>
    <row r="26" spans="1:3" ht="28.8" x14ac:dyDescent="0.3">
      <c r="A26" s="1" t="s">
        <v>56</v>
      </c>
      <c r="B26" s="14">
        <f>B17</f>
        <v>0</v>
      </c>
      <c r="C26" s="5" t="s">
        <v>69</v>
      </c>
    </row>
  </sheetData>
  <mergeCells count="2">
    <mergeCell ref="A1:C1"/>
    <mergeCell ref="A20:C20"/>
  </mergeCells>
  <conditionalFormatting sqref="B23">
    <cfRule type="expression" dxfId="3" priority="1">
      <formula>B22=0</formula>
    </cfRule>
  </conditionalFormatting>
  <dataValidations count="1">
    <dataValidation type="decimal" showInputMessage="1" showErrorMessage="1" errorTitle="Invalid buffer" error="Enter a number between 0 and 12." promptTitle="Safety-buffer months" prompt="Enter a number from 0 to 12. Decimals such as 0.5 are allowed." sqref="B14" xr:uid="{00000000-0002-0000-0100-000000000000}">
      <formula1>0</formula1>
      <formula2>12</formula2>
    </dataValidation>
  </dataValidations>
  <pageMargins left="0.75" right="0.75" top="1" bottom="1" header="0.5" footer="0.5"/>
  <pageSetup fitToHeight="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3"/>
  <sheetViews>
    <sheetView showGridLines="0" zoomScale="90" workbookViewId="0">
      <pane ySplit="3" topLeftCell="A4" activePane="bottomLeft" state="frozen"/>
      <selection pane="bottomLeft" sqref="A1:G1"/>
    </sheetView>
  </sheetViews>
  <sheetFormatPr defaultRowHeight="14.4" x14ac:dyDescent="0.3"/>
  <cols>
    <col min="1" max="1" width="27" customWidth="1"/>
    <col min="2" max="2" width="15" customWidth="1"/>
    <col min="3" max="4" width="21" customWidth="1"/>
    <col min="5" max="5" width="15" customWidth="1"/>
    <col min="6" max="6" width="20" customWidth="1"/>
    <col min="7" max="7" width="28" customWidth="1"/>
  </cols>
  <sheetData>
    <row r="1" spans="1:7" ht="23.4" x14ac:dyDescent="0.45">
      <c r="A1" s="27" t="s">
        <v>70</v>
      </c>
      <c r="B1" s="23"/>
      <c r="C1" s="23"/>
      <c r="D1" s="23"/>
      <c r="E1" s="23"/>
      <c r="F1" s="23"/>
      <c r="G1" s="23"/>
    </row>
    <row r="2" spans="1:7" ht="34.049999999999997" customHeight="1" x14ac:dyDescent="0.3">
      <c r="A2" s="29" t="s">
        <v>71</v>
      </c>
      <c r="B2" s="23"/>
      <c r="C2" s="23"/>
      <c r="D2" s="23"/>
      <c r="E2" s="23"/>
      <c r="F2" s="23"/>
      <c r="G2" s="23"/>
    </row>
    <row r="3" spans="1:7" x14ac:dyDescent="0.3">
      <c r="A3" s="18" t="s">
        <v>72</v>
      </c>
      <c r="B3" s="18" t="s">
        <v>73</v>
      </c>
      <c r="C3" s="18" t="s">
        <v>74</v>
      </c>
      <c r="D3" s="18" t="s">
        <v>75</v>
      </c>
      <c r="E3" s="18" t="s">
        <v>76</v>
      </c>
      <c r="F3" s="18" t="s">
        <v>77</v>
      </c>
      <c r="G3" s="18" t="s">
        <v>78</v>
      </c>
    </row>
    <row r="4" spans="1:7" x14ac:dyDescent="0.3">
      <c r="A4" s="2"/>
      <c r="B4" s="3"/>
      <c r="C4" s="7" t="str">
        <f>IF(B4="","",'My Budget'!$B$15+'My Budget'!$B$12+B4)</f>
        <v/>
      </c>
      <c r="D4" s="7" t="str">
        <f>IF(B4="","",MAX(0,C4-'My Budget'!$B$4))</f>
        <v/>
      </c>
      <c r="E4" s="5" t="str">
        <f>IF(B4="","",IF(B4&lt;='My Budget'!$B$17,0,IF('My Budget'!$B$16&lt;=0,"N/A",ROUNDUP(D4/'My Budget'!$B$16,0))))</f>
        <v/>
      </c>
      <c r="F4" s="6" t="str">
        <f>IF(B4="","",IF(B4&lt;='My Budget'!$B$17,'My Budget'!$B$3,IF('My Budget'!$B$16&lt;=0,"",EDATE('My Budget'!$B$18,E4-1))))</f>
        <v/>
      </c>
      <c r="G4" s="5" t="str">
        <f>IF(B4="","",IF(B4&lt;='My Budget'!$B$17,"BUY NOW",IF('My Budget'!$B$16&lt;=0,"NOT AFFORDABLE","WAIT UNTIL "&amp;TEXT(F4,"dd-mmm-yyyy"))))</f>
        <v/>
      </c>
    </row>
    <row r="5" spans="1:7" x14ac:dyDescent="0.3">
      <c r="A5" s="2"/>
      <c r="B5" s="3"/>
      <c r="C5" s="7" t="str">
        <f>IF(B5="","",'My Budget'!$B$15+'My Budget'!$B$12+B5)</f>
        <v/>
      </c>
      <c r="D5" s="7" t="str">
        <f>IF(B5="","",MAX(0,C5-'My Budget'!$B$4))</f>
        <v/>
      </c>
      <c r="E5" s="5" t="str">
        <f>IF(B5="","",IF(B5&lt;='My Budget'!$B$17,0,IF('My Budget'!$B$16&lt;=0,"N/A",ROUNDUP(D5/'My Budget'!$B$16,0))))</f>
        <v/>
      </c>
      <c r="F5" s="6" t="str">
        <f>IF(B5="","",IF(B5&lt;='My Budget'!$B$17,'My Budget'!$B$3,IF('My Budget'!$B$16&lt;=0,"",EDATE('My Budget'!$B$18,E5-1))))</f>
        <v/>
      </c>
      <c r="G5" s="5" t="str">
        <f>IF(B5="","",IF(B5&lt;='My Budget'!$B$17,"BUY NOW",IF('My Budget'!$B$16&lt;=0,"NOT AFFORDABLE","WAIT UNTIL "&amp;TEXT(F5,"dd-mmm-yyyy"))))</f>
        <v/>
      </c>
    </row>
    <row r="6" spans="1:7" x14ac:dyDescent="0.3">
      <c r="A6" s="2"/>
      <c r="B6" s="3"/>
      <c r="C6" s="7" t="str">
        <f>IF(B6="","",'My Budget'!$B$15+'My Budget'!$B$12+B6)</f>
        <v/>
      </c>
      <c r="D6" s="7" t="str">
        <f>IF(B6="","",MAX(0,C6-'My Budget'!$B$4))</f>
        <v/>
      </c>
      <c r="E6" s="5" t="str">
        <f>IF(B6="","",IF(B6&lt;='My Budget'!$B$17,0,IF('My Budget'!$B$16&lt;=0,"N/A",ROUNDUP(D6/'My Budget'!$B$16,0))))</f>
        <v/>
      </c>
      <c r="F6" s="6" t="str">
        <f>IF(B6="","",IF(B6&lt;='My Budget'!$B$17,'My Budget'!$B$3,IF('My Budget'!$B$16&lt;=0,"",EDATE('My Budget'!$B$18,E6-1))))</f>
        <v/>
      </c>
      <c r="G6" s="5" t="str">
        <f>IF(B6="","",IF(B6&lt;='My Budget'!$B$17,"BUY NOW",IF('My Budget'!$B$16&lt;=0,"NOT AFFORDABLE","WAIT UNTIL "&amp;TEXT(F6,"dd-mmm-yyyy"))))</f>
        <v/>
      </c>
    </row>
    <row r="7" spans="1:7" x14ac:dyDescent="0.3">
      <c r="A7" s="2"/>
      <c r="B7" s="3"/>
      <c r="C7" s="7" t="str">
        <f>IF(B7="","",'My Budget'!$B$15+'My Budget'!$B$12+B7)</f>
        <v/>
      </c>
      <c r="D7" s="7" t="str">
        <f>IF(B7="","",MAX(0,C7-'My Budget'!$B$4))</f>
        <v/>
      </c>
      <c r="E7" s="5" t="str">
        <f>IF(B7="","",IF(B7&lt;='My Budget'!$B$17,0,IF('My Budget'!$B$16&lt;=0,"N/A",ROUNDUP(D7/'My Budget'!$B$16,0))))</f>
        <v/>
      </c>
      <c r="F7" s="6" t="str">
        <f>IF(B7="","",IF(B7&lt;='My Budget'!$B$17,'My Budget'!$B$3,IF('My Budget'!$B$16&lt;=0,"",EDATE('My Budget'!$B$18,E7-1))))</f>
        <v/>
      </c>
      <c r="G7" s="5" t="str">
        <f>IF(B7="","",IF(B7&lt;='My Budget'!$B$17,"BUY NOW",IF('My Budget'!$B$16&lt;=0,"NOT AFFORDABLE","WAIT UNTIL "&amp;TEXT(F7,"dd-mmm-yyyy"))))</f>
        <v/>
      </c>
    </row>
    <row r="8" spans="1:7" x14ac:dyDescent="0.3">
      <c r="A8" s="2"/>
      <c r="B8" s="3"/>
      <c r="C8" s="7" t="str">
        <f>IF(B8="","",'My Budget'!$B$15+'My Budget'!$B$12+B8)</f>
        <v/>
      </c>
      <c r="D8" s="7" t="str">
        <f>IF(B8="","",MAX(0,C8-'My Budget'!$B$4))</f>
        <v/>
      </c>
      <c r="E8" s="5" t="str">
        <f>IF(B8="","",IF(B8&lt;='My Budget'!$B$17,0,IF('My Budget'!$B$16&lt;=0,"N/A",ROUNDUP(D8/'My Budget'!$B$16,0))))</f>
        <v/>
      </c>
      <c r="F8" s="6" t="str">
        <f>IF(B8="","",IF(B8&lt;='My Budget'!$B$17,'My Budget'!$B$3,IF('My Budget'!$B$16&lt;=0,"",EDATE('My Budget'!$B$18,E8-1))))</f>
        <v/>
      </c>
      <c r="G8" s="5" t="str">
        <f>IF(B8="","",IF(B8&lt;='My Budget'!$B$17,"BUY NOW",IF('My Budget'!$B$16&lt;=0,"NOT AFFORDABLE","WAIT UNTIL "&amp;TEXT(F8,"dd-mmm-yyyy"))))</f>
        <v/>
      </c>
    </row>
    <row r="9" spans="1:7" x14ac:dyDescent="0.3">
      <c r="A9" s="2"/>
      <c r="B9" s="3"/>
      <c r="C9" s="7" t="str">
        <f>IF(B9="","",'My Budget'!$B$15+'My Budget'!$B$12+B9)</f>
        <v/>
      </c>
      <c r="D9" s="7" t="str">
        <f>IF(B9="","",MAX(0,C9-'My Budget'!$B$4))</f>
        <v/>
      </c>
      <c r="E9" s="5" t="str">
        <f>IF(B9="","",IF(B9&lt;='My Budget'!$B$17,0,IF('My Budget'!$B$16&lt;=0,"N/A",ROUNDUP(D9/'My Budget'!$B$16,0))))</f>
        <v/>
      </c>
      <c r="F9" s="6" t="str">
        <f>IF(B9="","",IF(B9&lt;='My Budget'!$B$17,'My Budget'!$B$3,IF('My Budget'!$B$16&lt;=0,"",EDATE('My Budget'!$B$18,E9-1))))</f>
        <v/>
      </c>
      <c r="G9" s="5" t="str">
        <f>IF(B9="","",IF(B9&lt;='My Budget'!$B$17,"BUY NOW",IF('My Budget'!$B$16&lt;=0,"NOT AFFORDABLE","WAIT UNTIL "&amp;TEXT(F9,"dd-mmm-yyyy"))))</f>
        <v/>
      </c>
    </row>
    <row r="10" spans="1:7" x14ac:dyDescent="0.3">
      <c r="A10" s="2"/>
      <c r="B10" s="3"/>
      <c r="C10" s="7" t="str">
        <f>IF(B10="","",'My Budget'!$B$15+'My Budget'!$B$12+B10)</f>
        <v/>
      </c>
      <c r="D10" s="7" t="str">
        <f>IF(B10="","",MAX(0,C10-'My Budget'!$B$4))</f>
        <v/>
      </c>
      <c r="E10" s="5" t="str">
        <f>IF(B10="","",IF(B10&lt;='My Budget'!$B$17,0,IF('My Budget'!$B$16&lt;=0,"N/A",ROUNDUP(D10/'My Budget'!$B$16,0))))</f>
        <v/>
      </c>
      <c r="F10" s="6" t="str">
        <f>IF(B10="","",IF(B10&lt;='My Budget'!$B$17,'My Budget'!$B$3,IF('My Budget'!$B$16&lt;=0,"",EDATE('My Budget'!$B$18,E10-1))))</f>
        <v/>
      </c>
      <c r="G10" s="5" t="str">
        <f>IF(B10="","",IF(B10&lt;='My Budget'!$B$17,"BUY NOW",IF('My Budget'!$B$16&lt;=0,"NOT AFFORDABLE","WAIT UNTIL "&amp;TEXT(F10,"dd-mmm-yyyy"))))</f>
        <v/>
      </c>
    </row>
    <row r="11" spans="1:7" x14ac:dyDescent="0.3">
      <c r="A11" s="2"/>
      <c r="B11" s="3"/>
      <c r="C11" s="7" t="str">
        <f>IF(B11="","",'My Budget'!$B$15+'My Budget'!$B$12+B11)</f>
        <v/>
      </c>
      <c r="D11" s="7" t="str">
        <f>IF(B11="","",MAX(0,C11-'My Budget'!$B$4))</f>
        <v/>
      </c>
      <c r="E11" s="5" t="str">
        <f>IF(B11="","",IF(B11&lt;='My Budget'!$B$17,0,IF('My Budget'!$B$16&lt;=0,"N/A",ROUNDUP(D11/'My Budget'!$B$16,0))))</f>
        <v/>
      </c>
      <c r="F11" s="6" t="str">
        <f>IF(B11="","",IF(B11&lt;='My Budget'!$B$17,'My Budget'!$B$3,IF('My Budget'!$B$16&lt;=0,"",EDATE('My Budget'!$B$18,E11-1))))</f>
        <v/>
      </c>
      <c r="G11" s="5" t="str">
        <f>IF(B11="","",IF(B11&lt;='My Budget'!$B$17,"BUY NOW",IF('My Budget'!$B$16&lt;=0,"NOT AFFORDABLE","WAIT UNTIL "&amp;TEXT(F11,"dd-mmm-yyyy"))))</f>
        <v/>
      </c>
    </row>
    <row r="12" spans="1:7" x14ac:dyDescent="0.3">
      <c r="A12" s="2"/>
      <c r="B12" s="3"/>
      <c r="C12" s="7" t="str">
        <f>IF(B12="","",'My Budget'!$B$15+'My Budget'!$B$12+B12)</f>
        <v/>
      </c>
      <c r="D12" s="7" t="str">
        <f>IF(B12="","",MAX(0,C12-'My Budget'!$B$4))</f>
        <v/>
      </c>
      <c r="E12" s="5" t="str">
        <f>IF(B12="","",IF(B12&lt;='My Budget'!$B$17,0,IF('My Budget'!$B$16&lt;=0,"N/A",ROUNDUP(D12/'My Budget'!$B$16,0))))</f>
        <v/>
      </c>
      <c r="F12" s="6" t="str">
        <f>IF(B12="","",IF(B12&lt;='My Budget'!$B$17,'My Budget'!$B$3,IF('My Budget'!$B$16&lt;=0,"",EDATE('My Budget'!$B$18,E12-1))))</f>
        <v/>
      </c>
      <c r="G12" s="5" t="str">
        <f>IF(B12="","",IF(B12&lt;='My Budget'!$B$17,"BUY NOW",IF('My Budget'!$B$16&lt;=0,"NOT AFFORDABLE","WAIT UNTIL "&amp;TEXT(F12,"dd-mmm-yyyy"))))</f>
        <v/>
      </c>
    </row>
    <row r="13" spans="1:7" x14ac:dyDescent="0.3">
      <c r="A13" s="2"/>
      <c r="B13" s="3"/>
      <c r="C13" s="7" t="str">
        <f>IF(B13="","",'My Budget'!$B$15+'My Budget'!$B$12+B13)</f>
        <v/>
      </c>
      <c r="D13" s="7" t="str">
        <f>IF(B13="","",MAX(0,C13-'My Budget'!$B$4))</f>
        <v/>
      </c>
      <c r="E13" s="5" t="str">
        <f>IF(B13="","",IF(B13&lt;='My Budget'!$B$17,0,IF('My Budget'!$B$16&lt;=0,"N/A",ROUNDUP(D13/'My Budget'!$B$16,0))))</f>
        <v/>
      </c>
      <c r="F13" s="6" t="str">
        <f>IF(B13="","",IF(B13&lt;='My Budget'!$B$17,'My Budget'!$B$3,IF('My Budget'!$B$16&lt;=0,"",EDATE('My Budget'!$B$18,E13-1))))</f>
        <v/>
      </c>
      <c r="G13" s="5" t="str">
        <f>IF(B13="","",IF(B13&lt;='My Budget'!$B$17,"BUY NOW",IF('My Budget'!$B$16&lt;=0,"NOT AFFORDABLE","WAIT UNTIL "&amp;TEXT(F13,"dd-mmm-yyyy"))))</f>
        <v/>
      </c>
    </row>
    <row r="14" spans="1:7" x14ac:dyDescent="0.3">
      <c r="A14" s="2"/>
      <c r="B14" s="3"/>
      <c r="C14" s="7" t="str">
        <f>IF(B14="","",'My Budget'!$B$15+'My Budget'!$B$12+B14)</f>
        <v/>
      </c>
      <c r="D14" s="7" t="str">
        <f>IF(B14="","",MAX(0,C14-'My Budget'!$B$4))</f>
        <v/>
      </c>
      <c r="E14" s="5" t="str">
        <f>IF(B14="","",IF(B14&lt;='My Budget'!$B$17,0,IF('My Budget'!$B$16&lt;=0,"N/A",ROUNDUP(D14/'My Budget'!$B$16,0))))</f>
        <v/>
      </c>
      <c r="F14" s="6" t="str">
        <f>IF(B14="","",IF(B14&lt;='My Budget'!$B$17,'My Budget'!$B$3,IF('My Budget'!$B$16&lt;=0,"",EDATE('My Budget'!$B$18,E14-1))))</f>
        <v/>
      </c>
      <c r="G14" s="5" t="str">
        <f>IF(B14="","",IF(B14&lt;='My Budget'!$B$17,"BUY NOW",IF('My Budget'!$B$16&lt;=0,"NOT AFFORDABLE","WAIT UNTIL "&amp;TEXT(F14,"dd-mmm-yyyy"))))</f>
        <v/>
      </c>
    </row>
    <row r="15" spans="1:7" x14ac:dyDescent="0.3">
      <c r="A15" s="2"/>
      <c r="B15" s="3"/>
      <c r="C15" s="7" t="str">
        <f>IF(B15="","",'My Budget'!$B$15+'My Budget'!$B$12+B15)</f>
        <v/>
      </c>
      <c r="D15" s="7" t="str">
        <f>IF(B15="","",MAX(0,C15-'My Budget'!$B$4))</f>
        <v/>
      </c>
      <c r="E15" s="5" t="str">
        <f>IF(B15="","",IF(B15&lt;='My Budget'!$B$17,0,IF('My Budget'!$B$16&lt;=0,"N/A",ROUNDUP(D15/'My Budget'!$B$16,0))))</f>
        <v/>
      </c>
      <c r="F15" s="6" t="str">
        <f>IF(B15="","",IF(B15&lt;='My Budget'!$B$17,'My Budget'!$B$3,IF('My Budget'!$B$16&lt;=0,"",EDATE('My Budget'!$B$18,E15-1))))</f>
        <v/>
      </c>
      <c r="G15" s="5" t="str">
        <f>IF(B15="","",IF(B15&lt;='My Budget'!$B$17,"BUY NOW",IF('My Budget'!$B$16&lt;=0,"NOT AFFORDABLE","WAIT UNTIL "&amp;TEXT(F15,"dd-mmm-yyyy"))))</f>
        <v/>
      </c>
    </row>
    <row r="16" spans="1:7" x14ac:dyDescent="0.3">
      <c r="A16" s="2"/>
      <c r="B16" s="3"/>
      <c r="C16" s="7" t="str">
        <f>IF(B16="","",'My Budget'!$B$15+'My Budget'!$B$12+B16)</f>
        <v/>
      </c>
      <c r="D16" s="7" t="str">
        <f>IF(B16="","",MAX(0,C16-'My Budget'!$B$4))</f>
        <v/>
      </c>
      <c r="E16" s="5" t="str">
        <f>IF(B16="","",IF(B16&lt;='My Budget'!$B$17,0,IF('My Budget'!$B$16&lt;=0,"N/A",ROUNDUP(D16/'My Budget'!$B$16,0))))</f>
        <v/>
      </c>
      <c r="F16" s="6" t="str">
        <f>IF(B16="","",IF(B16&lt;='My Budget'!$B$17,'My Budget'!$B$3,IF('My Budget'!$B$16&lt;=0,"",EDATE('My Budget'!$B$18,E16-1))))</f>
        <v/>
      </c>
      <c r="G16" s="5" t="str">
        <f>IF(B16="","",IF(B16&lt;='My Budget'!$B$17,"BUY NOW",IF('My Budget'!$B$16&lt;=0,"NOT AFFORDABLE","WAIT UNTIL "&amp;TEXT(F16,"dd-mmm-yyyy"))))</f>
        <v/>
      </c>
    </row>
    <row r="17" spans="1:7" x14ac:dyDescent="0.3">
      <c r="A17" s="2"/>
      <c r="B17" s="3"/>
      <c r="C17" s="7" t="str">
        <f>IF(B17="","",'My Budget'!$B$15+'My Budget'!$B$12+B17)</f>
        <v/>
      </c>
      <c r="D17" s="7" t="str">
        <f>IF(B17="","",MAX(0,C17-'My Budget'!$B$4))</f>
        <v/>
      </c>
      <c r="E17" s="5" t="str">
        <f>IF(B17="","",IF(B17&lt;='My Budget'!$B$17,0,IF('My Budget'!$B$16&lt;=0,"N/A",ROUNDUP(D17/'My Budget'!$B$16,0))))</f>
        <v/>
      </c>
      <c r="F17" s="6" t="str">
        <f>IF(B17="","",IF(B17&lt;='My Budget'!$B$17,'My Budget'!$B$3,IF('My Budget'!$B$16&lt;=0,"",EDATE('My Budget'!$B$18,E17-1))))</f>
        <v/>
      </c>
      <c r="G17" s="5" t="str">
        <f>IF(B17="","",IF(B17&lt;='My Budget'!$B$17,"BUY NOW",IF('My Budget'!$B$16&lt;=0,"NOT AFFORDABLE","WAIT UNTIL "&amp;TEXT(F17,"dd-mmm-yyyy"))))</f>
        <v/>
      </c>
    </row>
    <row r="18" spans="1:7" x14ac:dyDescent="0.3">
      <c r="A18" s="2"/>
      <c r="B18" s="3"/>
      <c r="C18" s="7" t="str">
        <f>IF(B18="","",'My Budget'!$B$15+'My Budget'!$B$12+B18)</f>
        <v/>
      </c>
      <c r="D18" s="7" t="str">
        <f>IF(B18="","",MAX(0,C18-'My Budget'!$B$4))</f>
        <v/>
      </c>
      <c r="E18" s="5" t="str">
        <f>IF(B18="","",IF(B18&lt;='My Budget'!$B$17,0,IF('My Budget'!$B$16&lt;=0,"N/A",ROUNDUP(D18/'My Budget'!$B$16,0))))</f>
        <v/>
      </c>
      <c r="F18" s="6" t="str">
        <f>IF(B18="","",IF(B18&lt;='My Budget'!$B$17,'My Budget'!$B$3,IF('My Budget'!$B$16&lt;=0,"",EDATE('My Budget'!$B$18,E18-1))))</f>
        <v/>
      </c>
      <c r="G18" s="5" t="str">
        <f>IF(B18="","",IF(B18&lt;='My Budget'!$B$17,"BUY NOW",IF('My Budget'!$B$16&lt;=0,"NOT AFFORDABLE","WAIT UNTIL "&amp;TEXT(F18,"dd-mmm-yyyy"))))</f>
        <v/>
      </c>
    </row>
    <row r="19" spans="1:7" x14ac:dyDescent="0.3">
      <c r="A19" s="2"/>
      <c r="B19" s="3"/>
      <c r="C19" s="7" t="str">
        <f>IF(B19="","",'My Budget'!$B$15+'My Budget'!$B$12+B19)</f>
        <v/>
      </c>
      <c r="D19" s="7" t="str">
        <f>IF(B19="","",MAX(0,C19-'My Budget'!$B$4))</f>
        <v/>
      </c>
      <c r="E19" s="5" t="str">
        <f>IF(B19="","",IF(B19&lt;='My Budget'!$B$17,0,IF('My Budget'!$B$16&lt;=0,"N/A",ROUNDUP(D19/'My Budget'!$B$16,0))))</f>
        <v/>
      </c>
      <c r="F19" s="6" t="str">
        <f>IF(B19="","",IF(B19&lt;='My Budget'!$B$17,'My Budget'!$B$3,IF('My Budget'!$B$16&lt;=0,"",EDATE('My Budget'!$B$18,E19-1))))</f>
        <v/>
      </c>
      <c r="G19" s="5" t="str">
        <f>IF(B19="","",IF(B19&lt;='My Budget'!$B$17,"BUY NOW",IF('My Budget'!$B$16&lt;=0,"NOT AFFORDABLE","WAIT UNTIL "&amp;TEXT(F19,"dd-mmm-yyyy"))))</f>
        <v/>
      </c>
    </row>
    <row r="20" spans="1:7" x14ac:dyDescent="0.3">
      <c r="A20" s="2"/>
      <c r="B20" s="3"/>
      <c r="C20" s="7" t="str">
        <f>IF(B20="","",'My Budget'!$B$15+'My Budget'!$B$12+B20)</f>
        <v/>
      </c>
      <c r="D20" s="7" t="str">
        <f>IF(B20="","",MAX(0,C20-'My Budget'!$B$4))</f>
        <v/>
      </c>
      <c r="E20" s="5" t="str">
        <f>IF(B20="","",IF(B20&lt;='My Budget'!$B$17,0,IF('My Budget'!$B$16&lt;=0,"N/A",ROUNDUP(D20/'My Budget'!$B$16,0))))</f>
        <v/>
      </c>
      <c r="F20" s="6" t="str">
        <f>IF(B20="","",IF(B20&lt;='My Budget'!$B$17,'My Budget'!$B$3,IF('My Budget'!$B$16&lt;=0,"",EDATE('My Budget'!$B$18,E20-1))))</f>
        <v/>
      </c>
      <c r="G20" s="5" t="str">
        <f>IF(B20="","",IF(B20&lt;='My Budget'!$B$17,"BUY NOW",IF('My Budget'!$B$16&lt;=0,"NOT AFFORDABLE","WAIT UNTIL "&amp;TEXT(F20,"dd-mmm-yyyy"))))</f>
        <v/>
      </c>
    </row>
    <row r="21" spans="1:7" x14ac:dyDescent="0.3">
      <c r="A21" s="2"/>
      <c r="B21" s="3"/>
      <c r="C21" s="7" t="str">
        <f>IF(B21="","",'My Budget'!$B$15+'My Budget'!$B$12+B21)</f>
        <v/>
      </c>
      <c r="D21" s="7" t="str">
        <f>IF(B21="","",MAX(0,C21-'My Budget'!$B$4))</f>
        <v/>
      </c>
      <c r="E21" s="5" t="str">
        <f>IF(B21="","",IF(B21&lt;='My Budget'!$B$17,0,IF('My Budget'!$B$16&lt;=0,"N/A",ROUNDUP(D21/'My Budget'!$B$16,0))))</f>
        <v/>
      </c>
      <c r="F21" s="6" t="str">
        <f>IF(B21="","",IF(B21&lt;='My Budget'!$B$17,'My Budget'!$B$3,IF('My Budget'!$B$16&lt;=0,"",EDATE('My Budget'!$B$18,E21-1))))</f>
        <v/>
      </c>
      <c r="G21" s="5" t="str">
        <f>IF(B21="","",IF(B21&lt;='My Budget'!$B$17,"BUY NOW",IF('My Budget'!$B$16&lt;=0,"NOT AFFORDABLE","WAIT UNTIL "&amp;TEXT(F21,"dd-mmm-yyyy"))))</f>
        <v/>
      </c>
    </row>
    <row r="22" spans="1:7" x14ac:dyDescent="0.3">
      <c r="A22" s="2"/>
      <c r="B22" s="3"/>
      <c r="C22" s="7" t="str">
        <f>IF(B22="","",'My Budget'!$B$15+'My Budget'!$B$12+B22)</f>
        <v/>
      </c>
      <c r="D22" s="7" t="str">
        <f>IF(B22="","",MAX(0,C22-'My Budget'!$B$4))</f>
        <v/>
      </c>
      <c r="E22" s="5" t="str">
        <f>IF(B22="","",IF(B22&lt;='My Budget'!$B$17,0,IF('My Budget'!$B$16&lt;=0,"N/A",ROUNDUP(D22/'My Budget'!$B$16,0))))</f>
        <v/>
      </c>
      <c r="F22" s="6" t="str">
        <f>IF(B22="","",IF(B22&lt;='My Budget'!$B$17,'My Budget'!$B$3,IF('My Budget'!$B$16&lt;=0,"",EDATE('My Budget'!$B$18,E22-1))))</f>
        <v/>
      </c>
      <c r="G22" s="5" t="str">
        <f>IF(B22="","",IF(B22&lt;='My Budget'!$B$17,"BUY NOW",IF('My Budget'!$B$16&lt;=0,"NOT AFFORDABLE","WAIT UNTIL "&amp;TEXT(F22,"dd-mmm-yyyy"))))</f>
        <v/>
      </c>
    </row>
    <row r="23" spans="1:7" x14ac:dyDescent="0.3">
      <c r="A23" s="2"/>
      <c r="B23" s="3"/>
      <c r="C23" s="7" t="str">
        <f>IF(B23="","",'My Budget'!$B$15+'My Budget'!$B$12+B23)</f>
        <v/>
      </c>
      <c r="D23" s="7" t="str">
        <f>IF(B23="","",MAX(0,C23-'My Budget'!$B$4))</f>
        <v/>
      </c>
      <c r="E23" s="5" t="str">
        <f>IF(B23="","",IF(B23&lt;='My Budget'!$B$17,0,IF('My Budget'!$B$16&lt;=0,"N/A",ROUNDUP(D23/'My Budget'!$B$16,0))))</f>
        <v/>
      </c>
      <c r="F23" s="6" t="str">
        <f>IF(B23="","",IF(B23&lt;='My Budget'!$B$17,'My Budget'!$B$3,IF('My Budget'!$B$16&lt;=0,"",EDATE('My Budget'!$B$18,E23-1))))</f>
        <v/>
      </c>
      <c r="G23" s="5" t="str">
        <f>IF(B23="","",IF(B23&lt;='My Budget'!$B$17,"BUY NOW",IF('My Budget'!$B$16&lt;=0,"NOT AFFORDABLE","WAIT UNTIL "&amp;TEXT(F23,"dd-mmm-yyyy"))))</f>
        <v/>
      </c>
    </row>
  </sheetData>
  <autoFilter ref="A3:G23" xr:uid="{00000000-0009-0000-0000-000002000000}"/>
  <mergeCells count="2">
    <mergeCell ref="A2:G2"/>
    <mergeCell ref="A1:G1"/>
  </mergeCells>
  <conditionalFormatting sqref="G4:G23">
    <cfRule type="expression" dxfId="2" priority="1">
      <formula>LEFT(G4,7)="BUY NOW"</formula>
    </cfRule>
    <cfRule type="expression" dxfId="1" priority="2">
      <formula>LEFT(G4,4)="WAIT"</formula>
    </cfRule>
    <cfRule type="expression" dxfId="0" priority="3">
      <formula>LEFT(G4,3)="NOT"</formula>
    </cfRule>
  </conditionalFormatting>
  <pageMargins left="0.75" right="0.75" top="1" bottom="1" header="0.5" footer="0.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11"/>
  <sheetViews>
    <sheetView showGridLines="0" zoomScale="90" workbookViewId="0">
      <selection sqref="A1:C1"/>
    </sheetView>
  </sheetViews>
  <sheetFormatPr defaultRowHeight="14.4" x14ac:dyDescent="0.3"/>
  <cols>
    <col min="1" max="1" width="4" customWidth="1"/>
    <col min="2" max="2" width="28" customWidth="1"/>
    <col min="3" max="3" width="78" customWidth="1"/>
  </cols>
  <sheetData>
    <row r="1" spans="1:3" ht="23.4" x14ac:dyDescent="0.45">
      <c r="A1" s="27" t="s">
        <v>79</v>
      </c>
      <c r="B1" s="23"/>
      <c r="C1" s="23"/>
    </row>
    <row r="3" spans="1:3" ht="42" customHeight="1" x14ac:dyDescent="0.3">
      <c r="A3" s="19" t="s">
        <v>80</v>
      </c>
      <c r="B3" s="1" t="s">
        <v>81</v>
      </c>
      <c r="C3" s="5" t="s">
        <v>82</v>
      </c>
    </row>
    <row r="4" spans="1:3" ht="42" customHeight="1" x14ac:dyDescent="0.3">
      <c r="A4" s="19" t="s">
        <v>83</v>
      </c>
      <c r="B4" s="1" t="s">
        <v>84</v>
      </c>
      <c r="C4" s="5" t="s">
        <v>85</v>
      </c>
    </row>
    <row r="5" spans="1:3" ht="42" customHeight="1" x14ac:dyDescent="0.3">
      <c r="A5" s="19" t="s">
        <v>86</v>
      </c>
      <c r="B5" s="1" t="s">
        <v>87</v>
      </c>
      <c r="C5" s="5" t="s">
        <v>88</v>
      </c>
    </row>
    <row r="6" spans="1:3" ht="42" customHeight="1" x14ac:dyDescent="0.3">
      <c r="A6" s="19" t="s">
        <v>89</v>
      </c>
      <c r="B6" s="1" t="s">
        <v>90</v>
      </c>
      <c r="C6" s="5" t="s">
        <v>91</v>
      </c>
    </row>
    <row r="7" spans="1:3" ht="42" customHeight="1" x14ac:dyDescent="0.3">
      <c r="A7" s="19" t="s">
        <v>92</v>
      </c>
      <c r="B7" s="1" t="s">
        <v>93</v>
      </c>
      <c r="C7" s="5" t="s">
        <v>94</v>
      </c>
    </row>
    <row r="8" spans="1:3" ht="42" customHeight="1" x14ac:dyDescent="0.3">
      <c r="A8" s="19" t="s">
        <v>95</v>
      </c>
      <c r="B8" s="1" t="s">
        <v>96</v>
      </c>
      <c r="C8" s="5" t="s">
        <v>97</v>
      </c>
    </row>
    <row r="11" spans="1:3" ht="28.8" x14ac:dyDescent="0.3">
      <c r="B11" s="20" t="s">
        <v>98</v>
      </c>
      <c r="C11" s="21" t="s">
        <v>99</v>
      </c>
    </row>
  </sheetData>
  <mergeCells count="1">
    <mergeCell ref="A1:C1"/>
  </mergeCells>
  <pageMargins left="0.75" right="0.75" top="1" bottom="1"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Quick Check</vt:lpstr>
      <vt:lpstr>My Budget</vt:lpstr>
      <vt:lpstr>Compare Items</vt:lpstr>
      <vt:lpstr>How It 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ALIYAS VARKEY</cp:lastModifiedBy>
  <dcterms:created xsi:type="dcterms:W3CDTF">2026-10-06T19:12:28Z</dcterms:created>
  <dcterms:modified xsi:type="dcterms:W3CDTF">2026-10-06T19:20:50Z</dcterms:modified>
</cp:coreProperties>
</file>